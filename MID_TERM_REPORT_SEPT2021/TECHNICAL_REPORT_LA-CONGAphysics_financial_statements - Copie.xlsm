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mgrijalv\Desktop\LACONGA2\Mid-term report\Finances rapport\"/>
    </mc:Choice>
  </mc:AlternateContent>
  <workbookProtection workbookAlgorithmName="SHA-512" workbookHashValue="3NpEkusac72jjWO5xS06XFyrdYCBSovGjrNXyvnMRL2vQps54sSzCF2DUdmf6uAdbnvkIT8Uk78Dcor1Wf56mw==" workbookSaltValue="hlVIGLDChJUGoJCYYJdraA==" workbookSpinCount="100000" lockStructure="1"/>
  <bookViews>
    <workbookView minimized="1" xWindow="0" yWindow="0" windowWidth="19200" windowHeight="7050" tabRatio="942" firstSheet="1" activeTab="6"/>
  </bookViews>
  <sheets>
    <sheet name="Instructions" sheetId="85" r:id="rId1"/>
    <sheet name="Final financial statement" sheetId="41" r:id="rId2"/>
    <sheet name="Use of 1st Prefin &amp; 2nd Prefin" sheetId="84" r:id="rId3"/>
    <sheet name="Exchange Rates" sheetId="86" r:id="rId4"/>
    <sheet name="1. Staff Costs" sheetId="40" r:id="rId5"/>
    <sheet name="2-3-6. Travel Costs&amp;CoS&amp;EC" sheetId="39" r:id="rId6"/>
    <sheet name="4. Equipment Costs" sheetId="82" r:id="rId7"/>
    <sheet name="5. Subcontracting Costs" sheetId="76" r:id="rId8"/>
    <sheet name="Co-financing" sheetId="71" r:id="rId9"/>
    <sheet name="Breakdown &amp; Project Funding" sheetId="55" r:id="rId10"/>
    <sheet name="Breakdown Staff &amp; Travel Costs" sheetId="78" r:id="rId11"/>
    <sheet name="Rates" sheetId="36" state="hidden" r:id="rId12"/>
  </sheets>
  <functionGroups builtInGroupCount="18"/>
  <definedNames>
    <definedName name="BudgetHeadings">Rates!$J$14:$J$20</definedName>
    <definedName name="Category">Rates!$E$2:$H$2</definedName>
    <definedName name="Category2">Rates!$J$10:$J$11</definedName>
    <definedName name="CountryALL">Rates!$C$3:$C$179</definedName>
    <definedName name="CountryEligEquip">Rates!$C$37:$C$179</definedName>
    <definedName name="CountryType">Rates!$C$3:$D$179</definedName>
    <definedName name="Currencies">'Exchange Rates'!$B$3:$B$32</definedName>
    <definedName name="EUCountry">Rates!$C$3:$C$36</definedName>
    <definedName name="Exchange_Rates">'Exchange Rates'!$B$3:$C$32</definedName>
    <definedName name="_xlnm.Print_Titles" localSheetId="5">'2-3-6. Travel Costs&amp;CoS&amp;EC'!$8:$8</definedName>
    <definedName name="_xlnm.Print_Titles" localSheetId="6">'4. Equipment Costs'!$8:$8</definedName>
    <definedName name="_xlnm.Print_Titles" localSheetId="7">'5. Subcontracting Costs'!$8:$8</definedName>
    <definedName name="_xlnm.Print_Titles" localSheetId="9">'Breakdown &amp; Project Funding'!$3:$3</definedName>
    <definedName name="_xlnm.Print_Titles" localSheetId="8">'Co-financing'!$8:$8</definedName>
    <definedName name="Option">Rates!$J$96:$J$97</definedName>
    <definedName name="PartnerN°" localSheetId="2">'Use of 1st Prefin &amp; 2nd Prefin'!$B$22:$B$76</definedName>
    <definedName name="PartnerN°">'Final financial statement'!$B$23:$B$77</definedName>
    <definedName name="PartnerN°Ref" localSheetId="2">'Use of 1st Prefin &amp; 2nd Prefin'!$B$22:$F$76</definedName>
    <definedName name="PartnerN°Ref">'Final financial statement'!$B$23:$F$77</definedName>
    <definedName name="Rates">Rates!$E$3:$H$179</definedName>
    <definedName name="Role_Code">Rates!$J$37:$J$93</definedName>
    <definedName name="Staff">Rates!$J$23:$J$28</definedName>
    <definedName name="StaffCat">Rates!$E$2:$H$2</definedName>
    <definedName name="Student">Rates!$J$31:$J$34</definedName>
    <definedName name="WorkPackage">Rates!$J$3:$J$7</definedName>
    <definedName name="Z_D7932BCF_3472_4742_BE90_75070A4D3346_.wvu.Cols" localSheetId="4" hidden="1">'1. Staff Costs'!$Q:$XFD</definedName>
    <definedName name="Z_D7932BCF_3472_4742_BE90_75070A4D3346_.wvu.Cols" localSheetId="5" hidden="1">'2-3-6. Travel Costs&amp;CoS&amp;EC'!$X:$XFD</definedName>
    <definedName name="Z_D7932BCF_3472_4742_BE90_75070A4D3346_.wvu.Cols" localSheetId="6" hidden="1">'4. Equipment Costs'!$S:$XFD</definedName>
    <definedName name="Z_D7932BCF_3472_4742_BE90_75070A4D3346_.wvu.Cols" localSheetId="7" hidden="1">'5. Subcontracting Costs'!$S:$XFD</definedName>
    <definedName name="Z_D7932BCF_3472_4742_BE90_75070A4D3346_.wvu.Cols" localSheetId="9" hidden="1">'Breakdown &amp; Project Funding'!$V:$XFD</definedName>
    <definedName name="Z_D7932BCF_3472_4742_BE90_75070A4D3346_.wvu.Cols" localSheetId="10" hidden="1">'Breakdown Staff &amp; Travel Costs'!$M:$XFD</definedName>
    <definedName name="Z_D7932BCF_3472_4742_BE90_75070A4D3346_.wvu.Cols" localSheetId="8" hidden="1">'Co-financing'!$K:$XFD</definedName>
    <definedName name="Z_D7932BCF_3472_4742_BE90_75070A4D3346_.wvu.Rows" localSheetId="4" hidden="1">'1. Staff Costs'!$79:$1048576,'1. Staff Costs'!#REF!</definedName>
    <definedName name="Z_D7932BCF_3472_4742_BE90_75070A4D3346_.wvu.Rows" localSheetId="5" hidden="1">'2-3-6. Travel Costs&amp;CoS&amp;EC'!$11:$1048576,'2-3-6. Travel Costs&amp;CoS&amp;EC'!#REF!</definedName>
    <definedName name="Z_D7932BCF_3472_4742_BE90_75070A4D3346_.wvu.Rows" localSheetId="6" hidden="1">'4. Equipment Costs'!$25:$1048576,'4. Equipment Costs'!#REF!</definedName>
    <definedName name="Z_D7932BCF_3472_4742_BE90_75070A4D3346_.wvu.Rows" localSheetId="7" hidden="1">'5. Subcontracting Costs'!$15:$1048576,'5. Subcontracting Costs'!#REF!</definedName>
    <definedName name="Z_D7932BCF_3472_4742_BE90_75070A4D3346_.wvu.Rows" localSheetId="9" hidden="1">'Breakdown &amp; Project Funding'!$11:$1048576,'Breakdown &amp; Project Funding'!#REF!</definedName>
    <definedName name="Z_D7932BCF_3472_4742_BE90_75070A4D3346_.wvu.Rows" localSheetId="10" hidden="1">'Breakdown Staff &amp; Travel Costs'!$2:$1048576,'Breakdown Staff &amp; Travel Costs'!#REF!</definedName>
    <definedName name="Z_D7932BCF_3472_4742_BE90_75070A4D3346_.wvu.Rows" localSheetId="8" hidden="1">'Co-financing'!$53:$1048576,'Co-financing'!#REF!</definedName>
    <definedName name="_xlnm.Print_Area" localSheetId="4">'1. Staff Costs'!$A$1:$S$79</definedName>
    <definedName name="_xlnm.Print_Area" localSheetId="5">'2-3-6. Travel Costs&amp;CoS&amp;EC'!$A$1:$AA$11</definedName>
    <definedName name="_xlnm.Print_Area" localSheetId="6">'4. Equipment Costs'!$A$1:$T$25</definedName>
    <definedName name="_xlnm.Print_Area" localSheetId="7">'5. Subcontracting Costs'!$A$1:$T$15</definedName>
    <definedName name="_xlnm.Print_Area" localSheetId="9">'Breakdown &amp; Project Funding'!$A$1:$V$77</definedName>
    <definedName name="_xlnm.Print_Area" localSheetId="10">'Breakdown Staff &amp; Travel Costs'!$A$1:$M$121</definedName>
    <definedName name="_xlnm.Print_Area" localSheetId="8">'Co-financing'!$A$1:$L$57</definedName>
    <definedName name="_xlnm.Print_Area" localSheetId="3">'Exchange Rates'!$A$1:$F$33</definedName>
    <definedName name="_xlnm.Print_Area" localSheetId="1">'Final financial statement'!$A$1:$N$94</definedName>
    <definedName name="_xlnm.Print_Area" localSheetId="0">Instructions!$A$1:$E$136</definedName>
    <definedName name="_xlnm.Print_Area" localSheetId="2">'Use of 1st Prefin &amp; 2nd Prefin'!$A$1:$N$91</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K52" i="71" l="1"/>
  <c r="E52" i="71"/>
  <c r="D52" i="71"/>
  <c r="J52" i="71" s="1"/>
  <c r="C52" i="71"/>
  <c r="K51" i="71"/>
  <c r="E51" i="71"/>
  <c r="D51" i="71"/>
  <c r="J51" i="71" s="1"/>
  <c r="C51" i="71"/>
  <c r="K50" i="71"/>
  <c r="E50" i="71"/>
  <c r="D50" i="71"/>
  <c r="J50" i="71" s="1"/>
  <c r="C50" i="71"/>
  <c r="K49" i="71"/>
  <c r="E49" i="71"/>
  <c r="D49" i="71"/>
  <c r="J49" i="71" s="1"/>
  <c r="C49" i="71"/>
  <c r="K48" i="71"/>
  <c r="E48" i="71"/>
  <c r="D48" i="71"/>
  <c r="J48" i="71" s="1"/>
  <c r="C48" i="71"/>
  <c r="K47" i="71"/>
  <c r="E47" i="71"/>
  <c r="D47" i="71"/>
  <c r="J47" i="71" s="1"/>
  <c r="C47" i="71"/>
  <c r="K46" i="71"/>
  <c r="E46" i="71"/>
  <c r="D46" i="71"/>
  <c r="J46" i="71" s="1"/>
  <c r="C46" i="71"/>
  <c r="K45" i="71"/>
  <c r="E45" i="71"/>
  <c r="D45" i="71"/>
  <c r="J45" i="71" s="1"/>
  <c r="C45" i="71"/>
  <c r="K44" i="71"/>
  <c r="E44" i="71"/>
  <c r="D44" i="71"/>
  <c r="J44" i="71" s="1"/>
  <c r="C44" i="71"/>
  <c r="K43" i="71"/>
  <c r="E43" i="71"/>
  <c r="D43" i="71"/>
  <c r="J43" i="71" s="1"/>
  <c r="C43" i="71"/>
  <c r="K42" i="71"/>
  <c r="E42" i="71"/>
  <c r="D42" i="71"/>
  <c r="C42" i="71"/>
  <c r="K41" i="71"/>
  <c r="E41" i="71"/>
  <c r="D41" i="71"/>
  <c r="J41" i="71" s="1"/>
  <c r="C41" i="71"/>
  <c r="K40" i="71"/>
  <c r="E40" i="71"/>
  <c r="D40" i="71"/>
  <c r="J40" i="71" s="1"/>
  <c r="C40" i="71"/>
  <c r="K39" i="71"/>
  <c r="E39" i="71"/>
  <c r="D39" i="71"/>
  <c r="J39" i="71" s="1"/>
  <c r="C39" i="71"/>
  <c r="K38" i="71"/>
  <c r="E38" i="71"/>
  <c r="D38" i="71"/>
  <c r="J38" i="71" s="1"/>
  <c r="C38" i="71"/>
  <c r="K37" i="71"/>
  <c r="E37" i="71"/>
  <c r="D37" i="71"/>
  <c r="C37" i="71"/>
  <c r="K36" i="71"/>
  <c r="E36" i="71"/>
  <c r="D36" i="71"/>
  <c r="J36" i="71" s="1"/>
  <c r="C36" i="71"/>
  <c r="K35" i="71"/>
  <c r="E35" i="71"/>
  <c r="D35" i="71"/>
  <c r="C35" i="71"/>
  <c r="J42" i="71" l="1"/>
  <c r="J37" i="71"/>
  <c r="J35" i="71"/>
  <c r="K34" i="71" l="1"/>
  <c r="E34" i="71"/>
  <c r="D34" i="71"/>
  <c r="J34" i="71" s="1"/>
  <c r="C34" i="71"/>
  <c r="K33" i="71"/>
  <c r="E33" i="71"/>
  <c r="D33" i="71"/>
  <c r="J33" i="71" s="1"/>
  <c r="C33" i="71"/>
  <c r="K32" i="71"/>
  <c r="E32" i="71"/>
  <c r="D32" i="71"/>
  <c r="C32" i="71"/>
  <c r="K31" i="71"/>
  <c r="E31" i="71"/>
  <c r="D31" i="71"/>
  <c r="C31" i="71"/>
  <c r="K30" i="71"/>
  <c r="E30" i="71"/>
  <c r="D30" i="71"/>
  <c r="C30" i="71"/>
  <c r="K29" i="71"/>
  <c r="E29" i="71"/>
  <c r="D29" i="71"/>
  <c r="C29" i="71"/>
  <c r="K28" i="71"/>
  <c r="E28" i="71"/>
  <c r="D28" i="71"/>
  <c r="C28" i="71"/>
  <c r="K27" i="71"/>
  <c r="E27" i="71"/>
  <c r="D27" i="71"/>
  <c r="C27" i="71"/>
  <c r="K26" i="71"/>
  <c r="E26" i="71"/>
  <c r="D26" i="71"/>
  <c r="C26" i="71"/>
  <c r="K25" i="71"/>
  <c r="E25" i="71"/>
  <c r="D25" i="71"/>
  <c r="C25" i="71"/>
  <c r="K24" i="71"/>
  <c r="E24" i="71"/>
  <c r="D24" i="71"/>
  <c r="C24" i="71"/>
  <c r="K23" i="71"/>
  <c r="E23" i="71"/>
  <c r="D23" i="71"/>
  <c r="C23" i="71"/>
  <c r="K22" i="71"/>
  <c r="E22" i="71"/>
  <c r="D22" i="71"/>
  <c r="C22" i="71"/>
  <c r="K21" i="71"/>
  <c r="E21" i="71"/>
  <c r="D21" i="71"/>
  <c r="C21" i="71"/>
  <c r="K20" i="71"/>
  <c r="E20" i="71"/>
  <c r="D20" i="71"/>
  <c r="C20" i="71"/>
  <c r="K19" i="71"/>
  <c r="E19" i="71"/>
  <c r="D19" i="71"/>
  <c r="C19" i="71"/>
  <c r="K18" i="71"/>
  <c r="E18" i="71"/>
  <c r="D18" i="71"/>
  <c r="C18" i="71"/>
  <c r="K17" i="71"/>
  <c r="E17" i="71"/>
  <c r="D17" i="71"/>
  <c r="C17" i="71"/>
  <c r="K16" i="71"/>
  <c r="E16" i="71"/>
  <c r="D16" i="71"/>
  <c r="C16" i="71"/>
  <c r="K15" i="71"/>
  <c r="E15" i="71"/>
  <c r="D15" i="71"/>
  <c r="C15" i="71"/>
  <c r="K14" i="71"/>
  <c r="E14" i="71"/>
  <c r="D14" i="71"/>
  <c r="C14" i="71"/>
  <c r="K13" i="71"/>
  <c r="E13" i="71"/>
  <c r="D13" i="71"/>
  <c r="C13" i="71"/>
  <c r="K12" i="71"/>
  <c r="E12" i="71"/>
  <c r="D12" i="71"/>
  <c r="C12" i="71"/>
  <c r="K11" i="71"/>
  <c r="E11" i="71"/>
  <c r="D11" i="71"/>
  <c r="C11" i="71"/>
  <c r="J32" i="71" l="1"/>
  <c r="J31" i="71"/>
  <c r="J29" i="71"/>
  <c r="J30" i="71"/>
  <c r="J28" i="71"/>
  <c r="J27" i="71"/>
  <c r="J26" i="71"/>
  <c r="J25" i="71"/>
  <c r="J24" i="71"/>
  <c r="J23" i="71"/>
  <c r="J21" i="71"/>
  <c r="J20" i="71"/>
  <c r="J22" i="71"/>
  <c r="J19" i="71"/>
  <c r="J18" i="71"/>
  <c r="J16" i="71"/>
  <c r="J17" i="71"/>
  <c r="J13" i="71"/>
  <c r="J15" i="71"/>
  <c r="J14" i="71"/>
  <c r="J12" i="71"/>
  <c r="J11" i="71"/>
  <c r="R61" i="40" l="1"/>
  <c r="F61" i="40"/>
  <c r="E61" i="40"/>
  <c r="D61" i="40"/>
  <c r="R49" i="40"/>
  <c r="F49" i="40"/>
  <c r="E49" i="40"/>
  <c r="D49" i="40"/>
  <c r="R37" i="40"/>
  <c r="F37" i="40"/>
  <c r="E37" i="40"/>
  <c r="D37" i="40"/>
  <c r="R22" i="40"/>
  <c r="F22" i="40"/>
  <c r="E22" i="40"/>
  <c r="D22" i="40"/>
  <c r="R11" i="40"/>
  <c r="F11" i="40"/>
  <c r="E11" i="40"/>
  <c r="D11" i="40"/>
  <c r="Q61" i="40" l="1"/>
  <c r="Q37" i="40"/>
  <c r="O37" i="40" s="1"/>
  <c r="P37" i="40" s="1"/>
  <c r="Q49" i="40"/>
  <c r="O49" i="40" s="1"/>
  <c r="Q22" i="40"/>
  <c r="Q11" i="40"/>
  <c r="O11" i="40" s="1"/>
  <c r="Q14" i="76"/>
  <c r="P14" i="76"/>
  <c r="F14" i="76"/>
  <c r="E14" i="76"/>
  <c r="D14" i="76"/>
  <c r="S14" i="76" s="1"/>
  <c r="R14" i="76" s="1"/>
  <c r="Q13" i="76"/>
  <c r="P13" i="76"/>
  <c r="F13" i="76"/>
  <c r="E13" i="76"/>
  <c r="D13" i="76"/>
  <c r="Q12" i="76"/>
  <c r="P12" i="76"/>
  <c r="F12" i="76"/>
  <c r="E12" i="76"/>
  <c r="D12" i="76"/>
  <c r="Q24" i="82"/>
  <c r="P24" i="82"/>
  <c r="F24" i="82"/>
  <c r="E24" i="82"/>
  <c r="D24" i="82"/>
  <c r="Q15" i="82"/>
  <c r="P15" i="82"/>
  <c r="F15" i="82"/>
  <c r="E15" i="82"/>
  <c r="D15" i="82"/>
  <c r="Q12" i="82"/>
  <c r="P12" i="82"/>
  <c r="F12" i="82"/>
  <c r="E12" i="82"/>
  <c r="D12" i="82"/>
  <c r="Q23" i="82"/>
  <c r="P23" i="82"/>
  <c r="F23" i="82"/>
  <c r="E23" i="82"/>
  <c r="D23" i="82"/>
  <c r="Q21" i="82"/>
  <c r="P21" i="82"/>
  <c r="F21" i="82"/>
  <c r="E21" i="82"/>
  <c r="D21" i="82"/>
  <c r="Q19" i="82"/>
  <c r="P19" i="82"/>
  <c r="F19" i="82"/>
  <c r="E19" i="82"/>
  <c r="D19" i="82"/>
  <c r="Q17" i="82"/>
  <c r="P17" i="82"/>
  <c r="F17" i="82"/>
  <c r="E17" i="82"/>
  <c r="D17" i="82"/>
  <c r="Q14" i="82"/>
  <c r="P14" i="82"/>
  <c r="F14" i="82"/>
  <c r="E14" i="82"/>
  <c r="D14" i="82"/>
  <c r="Q11" i="82"/>
  <c r="P11" i="82"/>
  <c r="F11" i="82"/>
  <c r="E11" i="82"/>
  <c r="D11" i="82"/>
  <c r="Q20" i="82"/>
  <c r="P20" i="82"/>
  <c r="F20" i="82"/>
  <c r="E20" i="82"/>
  <c r="D20" i="82"/>
  <c r="Q18" i="82"/>
  <c r="P18" i="82"/>
  <c r="F18" i="82"/>
  <c r="E18" i="82"/>
  <c r="D18" i="82"/>
  <c r="Q16" i="82"/>
  <c r="P16" i="82"/>
  <c r="F16" i="82"/>
  <c r="E16" i="82"/>
  <c r="D16" i="82"/>
  <c r="Q13" i="82"/>
  <c r="P13" i="82"/>
  <c r="F13" i="82"/>
  <c r="E13" i="82"/>
  <c r="D13" i="82"/>
  <c r="O61" i="40" l="1"/>
  <c r="P61" i="40" s="1"/>
  <c r="P49" i="40"/>
  <c r="O22" i="40"/>
  <c r="P22" i="40" s="1"/>
  <c r="P11" i="40"/>
  <c r="S13" i="76"/>
  <c r="R13" i="76" s="1"/>
  <c r="S12" i="76"/>
  <c r="R12" i="76" s="1"/>
  <c r="S24" i="82"/>
  <c r="R24" i="82" s="1"/>
  <c r="S15" i="82"/>
  <c r="R15" i="82" s="1"/>
  <c r="S12" i="82"/>
  <c r="R12" i="82" s="1"/>
  <c r="S23" i="82"/>
  <c r="R23" i="82" s="1"/>
  <c r="S21" i="82"/>
  <c r="R21" i="82" s="1"/>
  <c r="S19" i="82"/>
  <c r="R19" i="82" s="1"/>
  <c r="S14" i="82"/>
  <c r="R14" i="82" s="1"/>
  <c r="S17" i="82"/>
  <c r="R17" i="82" s="1"/>
  <c r="S11" i="82"/>
  <c r="R11" i="82" s="1"/>
  <c r="S20" i="82"/>
  <c r="R20" i="82" s="1"/>
  <c r="S16" i="82"/>
  <c r="R16" i="82" s="1"/>
  <c r="S18" i="82"/>
  <c r="R18" i="82" s="1"/>
  <c r="S13" i="82"/>
  <c r="R13" i="82" s="1"/>
  <c r="Q11" i="76" l="1"/>
  <c r="P11" i="76"/>
  <c r="F11" i="76"/>
  <c r="E11" i="76"/>
  <c r="D11" i="76"/>
  <c r="R33" i="40"/>
  <c r="F33" i="40"/>
  <c r="E33" i="40"/>
  <c r="D33" i="40"/>
  <c r="R78" i="40"/>
  <c r="F78" i="40"/>
  <c r="E78" i="40"/>
  <c r="D78" i="40"/>
  <c r="R68" i="40"/>
  <c r="F68" i="40"/>
  <c r="E68" i="40"/>
  <c r="D68" i="40"/>
  <c r="R63" i="40"/>
  <c r="F63" i="40"/>
  <c r="E63" i="40"/>
  <c r="D63" i="40"/>
  <c r="R53" i="40"/>
  <c r="F53" i="40"/>
  <c r="E53" i="40"/>
  <c r="D53" i="40"/>
  <c r="R52" i="40"/>
  <c r="F52" i="40"/>
  <c r="E52" i="40"/>
  <c r="D52" i="40"/>
  <c r="R41" i="40"/>
  <c r="F41" i="40"/>
  <c r="E41" i="40"/>
  <c r="D41" i="40"/>
  <c r="R36" i="40"/>
  <c r="F36" i="40"/>
  <c r="E36" i="40"/>
  <c r="D36" i="40"/>
  <c r="R35" i="40"/>
  <c r="F35" i="40"/>
  <c r="E35" i="40"/>
  <c r="D35" i="40"/>
  <c r="R47" i="40"/>
  <c r="F47" i="40"/>
  <c r="E47" i="40"/>
  <c r="D47" i="40"/>
  <c r="R46" i="40"/>
  <c r="F46" i="40"/>
  <c r="E46" i="40"/>
  <c r="D46" i="40"/>
  <c r="R45" i="40"/>
  <c r="F45" i="40"/>
  <c r="E45" i="40"/>
  <c r="D45" i="40"/>
  <c r="R44" i="40"/>
  <c r="F44" i="40"/>
  <c r="E44" i="40"/>
  <c r="D44" i="40"/>
  <c r="R43" i="40"/>
  <c r="F43" i="40"/>
  <c r="E43" i="40"/>
  <c r="D43" i="40"/>
  <c r="R42" i="40"/>
  <c r="F42" i="40"/>
  <c r="E42" i="40"/>
  <c r="D42" i="40"/>
  <c r="R40" i="40"/>
  <c r="F40" i="40"/>
  <c r="E40" i="40"/>
  <c r="D40" i="40"/>
  <c r="R39" i="40"/>
  <c r="F39" i="40"/>
  <c r="E39" i="40"/>
  <c r="D39" i="40"/>
  <c r="R38" i="40"/>
  <c r="F38" i="40"/>
  <c r="E38" i="40"/>
  <c r="D38" i="40"/>
  <c r="R34" i="40"/>
  <c r="F34" i="40"/>
  <c r="E34" i="40"/>
  <c r="D34" i="40"/>
  <c r="R32" i="40"/>
  <c r="F32" i="40"/>
  <c r="E32" i="40"/>
  <c r="D32" i="40"/>
  <c r="R27" i="40"/>
  <c r="F27" i="40"/>
  <c r="E27" i="40"/>
  <c r="D27" i="40"/>
  <c r="R65" i="40"/>
  <c r="F65" i="40"/>
  <c r="E65" i="40"/>
  <c r="D65" i="40"/>
  <c r="R24" i="40"/>
  <c r="F24" i="40"/>
  <c r="E24" i="40"/>
  <c r="D24" i="40"/>
  <c r="R14" i="40"/>
  <c r="F14" i="40"/>
  <c r="E14" i="40"/>
  <c r="D14" i="40"/>
  <c r="R76" i="40"/>
  <c r="F76" i="40"/>
  <c r="E76" i="40"/>
  <c r="D76" i="40"/>
  <c r="R75" i="40"/>
  <c r="F75" i="40"/>
  <c r="E75" i="40"/>
  <c r="D75" i="40"/>
  <c r="S11" i="76" l="1"/>
  <c r="R11" i="76" s="1"/>
  <c r="Q33" i="40"/>
  <c r="Q78" i="40"/>
  <c r="Q68" i="40"/>
  <c r="Q63" i="40"/>
  <c r="O63" i="40" s="1"/>
  <c r="Q53" i="40"/>
  <c r="Q52" i="40"/>
  <c r="O52" i="40" s="1"/>
  <c r="Q36" i="40"/>
  <c r="Q41" i="40"/>
  <c r="O41" i="40" s="1"/>
  <c r="Q35" i="40"/>
  <c r="O35" i="40" s="1"/>
  <c r="Q47" i="40"/>
  <c r="O47" i="40" s="1"/>
  <c r="Q46" i="40"/>
  <c r="Q45" i="40"/>
  <c r="Q44" i="40"/>
  <c r="Q42" i="40"/>
  <c r="Q43" i="40"/>
  <c r="Q40" i="40"/>
  <c r="Q39" i="40"/>
  <c r="Q38" i="40"/>
  <c r="Q34" i="40"/>
  <c r="Q32" i="40"/>
  <c r="Q27" i="40"/>
  <c r="Q65" i="40"/>
  <c r="Q14" i="40"/>
  <c r="Q24" i="40"/>
  <c r="Q76" i="40"/>
  <c r="Q75" i="40"/>
  <c r="O75" i="40" s="1"/>
  <c r="R74" i="40"/>
  <c r="F74" i="40"/>
  <c r="E74" i="40"/>
  <c r="D74" i="40"/>
  <c r="R73" i="40"/>
  <c r="F73" i="40"/>
  <c r="E73" i="40"/>
  <c r="D73" i="40"/>
  <c r="R72" i="40"/>
  <c r="F72" i="40"/>
  <c r="E72" i="40"/>
  <c r="D72" i="40"/>
  <c r="R71" i="40"/>
  <c r="F71" i="40"/>
  <c r="E71" i="40"/>
  <c r="D71" i="40"/>
  <c r="R70" i="40"/>
  <c r="F70" i="40"/>
  <c r="E70" i="40"/>
  <c r="D70" i="40"/>
  <c r="R69" i="40"/>
  <c r="F69" i="40"/>
  <c r="E69" i="40"/>
  <c r="D69" i="40"/>
  <c r="R67" i="40"/>
  <c r="F67" i="40"/>
  <c r="E67" i="40"/>
  <c r="D67" i="40"/>
  <c r="R66" i="40"/>
  <c r="F66" i="40"/>
  <c r="E66" i="40"/>
  <c r="D66" i="40"/>
  <c r="R64" i="40"/>
  <c r="F64" i="40"/>
  <c r="E64" i="40"/>
  <c r="D64" i="40"/>
  <c r="R62" i="40"/>
  <c r="F62" i="40"/>
  <c r="E62" i="40"/>
  <c r="D62" i="40"/>
  <c r="R60" i="40"/>
  <c r="F60" i="40"/>
  <c r="E60" i="40"/>
  <c r="D60" i="40"/>
  <c r="R59" i="40"/>
  <c r="F59" i="40"/>
  <c r="E59" i="40"/>
  <c r="D59" i="40"/>
  <c r="R58" i="40"/>
  <c r="F58" i="40"/>
  <c r="E58" i="40"/>
  <c r="D58" i="40"/>
  <c r="R57" i="40"/>
  <c r="F57" i="40"/>
  <c r="E57" i="40"/>
  <c r="D57" i="40"/>
  <c r="R56" i="40"/>
  <c r="F56" i="40"/>
  <c r="E56" i="40"/>
  <c r="D56" i="40"/>
  <c r="R55" i="40"/>
  <c r="F55" i="40"/>
  <c r="E55" i="40"/>
  <c r="D55" i="40"/>
  <c r="R54" i="40"/>
  <c r="F54" i="40"/>
  <c r="E54" i="40"/>
  <c r="D54" i="40"/>
  <c r="R51" i="40"/>
  <c r="F51" i="40"/>
  <c r="E51" i="40"/>
  <c r="D51" i="40"/>
  <c r="R50" i="40"/>
  <c r="F50" i="40"/>
  <c r="E50" i="40"/>
  <c r="D50" i="40"/>
  <c r="R48" i="40"/>
  <c r="F48" i="40"/>
  <c r="E48" i="40"/>
  <c r="D48" i="40"/>
  <c r="R31" i="40"/>
  <c r="F31" i="40"/>
  <c r="E31" i="40"/>
  <c r="D31" i="40"/>
  <c r="R30" i="40"/>
  <c r="F30" i="40"/>
  <c r="E30" i="40"/>
  <c r="D30" i="40"/>
  <c r="R29" i="40"/>
  <c r="F29" i="40"/>
  <c r="E29" i="40"/>
  <c r="D29" i="40"/>
  <c r="R28" i="40"/>
  <c r="F28" i="40"/>
  <c r="E28" i="40"/>
  <c r="D28" i="40"/>
  <c r="R26" i="40"/>
  <c r="F26" i="40"/>
  <c r="E26" i="40"/>
  <c r="D26" i="40"/>
  <c r="R25" i="40"/>
  <c r="F25" i="40"/>
  <c r="E25" i="40"/>
  <c r="D25" i="40"/>
  <c r="R23" i="40"/>
  <c r="F23" i="40"/>
  <c r="E23" i="40"/>
  <c r="D23" i="40"/>
  <c r="R21" i="40"/>
  <c r="F21" i="40"/>
  <c r="E21" i="40"/>
  <c r="D21" i="40"/>
  <c r="R20" i="40"/>
  <c r="F20" i="40"/>
  <c r="E20" i="40"/>
  <c r="D20" i="40"/>
  <c r="R19" i="40"/>
  <c r="F19" i="40"/>
  <c r="E19" i="40"/>
  <c r="D19" i="40"/>
  <c r="R18" i="40"/>
  <c r="F18" i="40"/>
  <c r="E18" i="40"/>
  <c r="D18" i="40"/>
  <c r="R17" i="40"/>
  <c r="F17" i="40"/>
  <c r="E17" i="40"/>
  <c r="D17" i="40"/>
  <c r="R16" i="40"/>
  <c r="F16" i="40"/>
  <c r="E16" i="40"/>
  <c r="D16" i="40"/>
  <c r="R15" i="40"/>
  <c r="F15" i="40"/>
  <c r="E15" i="40"/>
  <c r="D15" i="40"/>
  <c r="R13" i="40"/>
  <c r="F13" i="40"/>
  <c r="E13" i="40"/>
  <c r="D13" i="40"/>
  <c r="R12" i="40"/>
  <c r="F12" i="40"/>
  <c r="E12" i="40"/>
  <c r="D12" i="40"/>
  <c r="Q22" i="82"/>
  <c r="P22" i="82"/>
  <c r="F22" i="82"/>
  <c r="E22" i="82"/>
  <c r="D22" i="82"/>
  <c r="R77" i="40"/>
  <c r="F77" i="40"/>
  <c r="E77" i="40"/>
  <c r="D77" i="40"/>
  <c r="O33" i="40" l="1"/>
  <c r="P33" i="40" s="1"/>
  <c r="O78" i="40"/>
  <c r="P78" i="40" s="1"/>
  <c r="O68" i="40"/>
  <c r="P68" i="40" s="1"/>
  <c r="P63" i="40"/>
  <c r="O53" i="40"/>
  <c r="P53" i="40" s="1"/>
  <c r="P52" i="40"/>
  <c r="O36" i="40"/>
  <c r="P36" i="40" s="1"/>
  <c r="P41" i="40"/>
  <c r="P35" i="40"/>
  <c r="P47" i="40"/>
  <c r="O46" i="40"/>
  <c r="P46" i="40" s="1"/>
  <c r="O45" i="40"/>
  <c r="P45" i="40" s="1"/>
  <c r="O44" i="40"/>
  <c r="P44" i="40" s="1"/>
  <c r="O42" i="40"/>
  <c r="P42" i="40" s="1"/>
  <c r="O43" i="40"/>
  <c r="P43" i="40" s="1"/>
  <c r="O40" i="40"/>
  <c r="P40" i="40" s="1"/>
  <c r="O38" i="40"/>
  <c r="P38" i="40" s="1"/>
  <c r="O39" i="40"/>
  <c r="P39" i="40" s="1"/>
  <c r="O34" i="40"/>
  <c r="P34" i="40" s="1"/>
  <c r="O32" i="40"/>
  <c r="P32" i="40" s="1"/>
  <c r="O27" i="40"/>
  <c r="P27" i="40" s="1"/>
  <c r="O65" i="40"/>
  <c r="P65" i="40" s="1"/>
  <c r="O14" i="40"/>
  <c r="P14" i="40" s="1"/>
  <c r="O24" i="40"/>
  <c r="P24" i="40" s="1"/>
  <c r="O76" i="40"/>
  <c r="P76" i="40" s="1"/>
  <c r="P75" i="40"/>
  <c r="Q74" i="40"/>
  <c r="O74" i="40" s="1"/>
  <c r="Q72" i="40"/>
  <c r="Q73" i="40"/>
  <c r="O73" i="40" s="1"/>
  <c r="Q71" i="40"/>
  <c r="O71" i="40" s="1"/>
  <c r="Q70" i="40"/>
  <c r="O70" i="40" s="1"/>
  <c r="Q69" i="40"/>
  <c r="Q67" i="40"/>
  <c r="Q66" i="40"/>
  <c r="Q64" i="40"/>
  <c r="Q62" i="40"/>
  <c r="O62" i="40" s="1"/>
  <c r="Q59" i="40"/>
  <c r="O59" i="40" s="1"/>
  <c r="Q60" i="40"/>
  <c r="Q57" i="40"/>
  <c r="O57" i="40" s="1"/>
  <c r="Q58" i="40"/>
  <c r="O58" i="40" s="1"/>
  <c r="Q56" i="40"/>
  <c r="O56" i="40" s="1"/>
  <c r="Q55" i="40"/>
  <c r="Q54" i="40"/>
  <c r="Q51" i="40"/>
  <c r="Q50" i="40"/>
  <c r="Q48" i="40"/>
  <c r="Q31" i="40"/>
  <c r="O31" i="40" s="1"/>
  <c r="Q28" i="40"/>
  <c r="Q30" i="40"/>
  <c r="O30" i="40" s="1"/>
  <c r="Q29" i="40"/>
  <c r="Q26" i="40"/>
  <c r="O26" i="40" s="1"/>
  <c r="Q25" i="40"/>
  <c r="Q23" i="40"/>
  <c r="Q21" i="40"/>
  <c r="Q20" i="40"/>
  <c r="Q19" i="40"/>
  <c r="Q18" i="40"/>
  <c r="Q17" i="40"/>
  <c r="Q16" i="40"/>
  <c r="Q15" i="40"/>
  <c r="Q13" i="40"/>
  <c r="O13" i="40" s="1"/>
  <c r="Q12" i="40"/>
  <c r="S22" i="82"/>
  <c r="R22" i="82" s="1"/>
  <c r="Q77" i="40"/>
  <c r="O77" i="40" s="1"/>
  <c r="Q10" i="76"/>
  <c r="P10" i="76"/>
  <c r="F10" i="76"/>
  <c r="E10" i="76"/>
  <c r="D10" i="76"/>
  <c r="Q9" i="76"/>
  <c r="P9" i="76"/>
  <c r="F9" i="76"/>
  <c r="E9" i="76"/>
  <c r="D9" i="76"/>
  <c r="P10" i="82"/>
  <c r="Q10" i="82"/>
  <c r="Q9" i="82"/>
  <c r="P74" i="40" l="1"/>
  <c r="O72" i="40"/>
  <c r="P72" i="40" s="1"/>
  <c r="P73" i="40"/>
  <c r="P71" i="40"/>
  <c r="P70" i="40"/>
  <c r="O69" i="40"/>
  <c r="P69" i="40" s="1"/>
  <c r="O67" i="40"/>
  <c r="P67" i="40" s="1"/>
  <c r="O66" i="40"/>
  <c r="P66" i="40" s="1"/>
  <c r="O64" i="40"/>
  <c r="P64" i="40" s="1"/>
  <c r="P62" i="40"/>
  <c r="P59" i="40"/>
  <c r="O60" i="40"/>
  <c r="P60" i="40" s="1"/>
  <c r="P57" i="40"/>
  <c r="P58" i="40"/>
  <c r="P56" i="40"/>
  <c r="O55" i="40"/>
  <c r="P55" i="40" s="1"/>
  <c r="O54" i="40"/>
  <c r="P54" i="40" s="1"/>
  <c r="O51" i="40"/>
  <c r="P51" i="40" s="1"/>
  <c r="O50" i="40"/>
  <c r="P50" i="40" s="1"/>
  <c r="O48" i="40"/>
  <c r="P48" i="40" s="1"/>
  <c r="P31" i="40"/>
  <c r="O28" i="40"/>
  <c r="P28" i="40" s="1"/>
  <c r="P30" i="40"/>
  <c r="O29" i="40"/>
  <c r="P29" i="40" s="1"/>
  <c r="P26" i="40"/>
  <c r="O25" i="40"/>
  <c r="P25" i="40" s="1"/>
  <c r="O23" i="40"/>
  <c r="P23" i="40" s="1"/>
  <c r="O21" i="40"/>
  <c r="P21" i="40" s="1"/>
  <c r="O20" i="40"/>
  <c r="P20" i="40" s="1"/>
  <c r="O19" i="40"/>
  <c r="P19" i="40" s="1"/>
  <c r="O18" i="40"/>
  <c r="P18" i="40" s="1"/>
  <c r="O17" i="40"/>
  <c r="P17" i="40" s="1"/>
  <c r="O16" i="40"/>
  <c r="P16" i="40" s="1"/>
  <c r="O15" i="40"/>
  <c r="P15" i="40" s="1"/>
  <c r="P13" i="40"/>
  <c r="O12" i="40"/>
  <c r="P12" i="40" s="1"/>
  <c r="P77" i="40"/>
  <c r="S10" i="76"/>
  <c r="R10" i="76" s="1"/>
  <c r="S9" i="76"/>
  <c r="P9" i="82"/>
  <c r="F22" i="55" l="1"/>
  <c r="L22" i="55"/>
  <c r="O22" i="55"/>
  <c r="F23" i="55"/>
  <c r="I23" i="55"/>
  <c r="L23" i="55"/>
  <c r="O23" i="55"/>
  <c r="R23" i="55"/>
  <c r="F24" i="55"/>
  <c r="I24" i="55"/>
  <c r="L24" i="55"/>
  <c r="O24" i="55"/>
  <c r="R24" i="55"/>
  <c r="F25" i="55"/>
  <c r="I25" i="55"/>
  <c r="L25" i="55"/>
  <c r="O25" i="55"/>
  <c r="R25" i="55"/>
  <c r="F26" i="55"/>
  <c r="I26" i="55"/>
  <c r="L26" i="55"/>
  <c r="O26" i="55"/>
  <c r="R26" i="55"/>
  <c r="F27" i="55"/>
  <c r="I27" i="55"/>
  <c r="L27" i="55"/>
  <c r="O27" i="55"/>
  <c r="R27" i="55"/>
  <c r="F28" i="55"/>
  <c r="I28" i="55"/>
  <c r="L28" i="55"/>
  <c r="O28" i="55"/>
  <c r="R28" i="55"/>
  <c r="I29" i="55"/>
  <c r="L29" i="55"/>
  <c r="R29" i="55"/>
  <c r="F30" i="55"/>
  <c r="I30" i="55"/>
  <c r="L30" i="55"/>
  <c r="O30" i="55"/>
  <c r="R30" i="55"/>
  <c r="F31" i="55"/>
  <c r="I31" i="55"/>
  <c r="L31" i="55"/>
  <c r="O31" i="55"/>
  <c r="R31" i="55"/>
  <c r="F32" i="55"/>
  <c r="I32" i="55"/>
  <c r="L32" i="55"/>
  <c r="O32" i="55"/>
  <c r="R32" i="55"/>
  <c r="F33" i="55"/>
  <c r="I33" i="55"/>
  <c r="L33" i="55"/>
  <c r="O33" i="55"/>
  <c r="R33" i="55"/>
  <c r="F34" i="55"/>
  <c r="I34" i="55"/>
  <c r="L34" i="55"/>
  <c r="O34" i="55"/>
  <c r="R34" i="55"/>
  <c r="F35" i="55"/>
  <c r="I35" i="55"/>
  <c r="L35" i="55"/>
  <c r="O35" i="55"/>
  <c r="R35" i="55"/>
  <c r="F36" i="55"/>
  <c r="I36" i="55"/>
  <c r="L36" i="55"/>
  <c r="O36" i="55"/>
  <c r="R36" i="55"/>
  <c r="F37" i="55"/>
  <c r="I37" i="55"/>
  <c r="L37" i="55"/>
  <c r="O37" i="55"/>
  <c r="R37" i="55"/>
  <c r="F38" i="55"/>
  <c r="I38" i="55"/>
  <c r="L38" i="55"/>
  <c r="O38" i="55"/>
  <c r="R38" i="55"/>
  <c r="F39" i="55"/>
  <c r="I39" i="55"/>
  <c r="L39" i="55"/>
  <c r="O39" i="55"/>
  <c r="R39" i="55"/>
  <c r="F40" i="55"/>
  <c r="I40" i="55"/>
  <c r="L40" i="55"/>
  <c r="O40" i="55"/>
  <c r="R40" i="55"/>
  <c r="F41" i="55"/>
  <c r="I41" i="55"/>
  <c r="L41" i="55"/>
  <c r="O41" i="55"/>
  <c r="R41" i="55"/>
  <c r="F42" i="55"/>
  <c r="I42" i="55"/>
  <c r="L42" i="55"/>
  <c r="O42" i="55"/>
  <c r="R42" i="55"/>
  <c r="F43" i="55"/>
  <c r="I43" i="55"/>
  <c r="L43" i="55"/>
  <c r="O43" i="55"/>
  <c r="R43" i="55"/>
  <c r="F44" i="55"/>
  <c r="I44" i="55"/>
  <c r="L44" i="55"/>
  <c r="O44" i="55"/>
  <c r="R44" i="55"/>
  <c r="F45" i="55"/>
  <c r="I45" i="55"/>
  <c r="L45" i="55"/>
  <c r="O45" i="55"/>
  <c r="R45" i="55"/>
  <c r="F46" i="55"/>
  <c r="I46" i="55"/>
  <c r="L46" i="55"/>
  <c r="O46" i="55"/>
  <c r="R46" i="55"/>
  <c r="F47" i="55"/>
  <c r="I47" i="55"/>
  <c r="L47" i="55"/>
  <c r="O47" i="55"/>
  <c r="R47" i="55"/>
  <c r="F48" i="55"/>
  <c r="I48" i="55"/>
  <c r="L48" i="55"/>
  <c r="O48" i="55"/>
  <c r="R48" i="55"/>
  <c r="F49" i="55"/>
  <c r="I49" i="55"/>
  <c r="L49" i="55"/>
  <c r="O49" i="55"/>
  <c r="R49" i="55"/>
  <c r="F50" i="55"/>
  <c r="I50" i="55"/>
  <c r="L50" i="55"/>
  <c r="O50" i="55"/>
  <c r="R50" i="55"/>
  <c r="F51" i="55"/>
  <c r="I51" i="55"/>
  <c r="L51" i="55"/>
  <c r="O51" i="55"/>
  <c r="R51" i="55"/>
  <c r="F52" i="55"/>
  <c r="I52" i="55"/>
  <c r="L52" i="55"/>
  <c r="O52" i="55"/>
  <c r="R52" i="55"/>
  <c r="F53" i="55"/>
  <c r="I53" i="55"/>
  <c r="L53" i="55"/>
  <c r="O53" i="55"/>
  <c r="R53" i="55"/>
  <c r="F54" i="55"/>
  <c r="I54" i="55"/>
  <c r="L54" i="55"/>
  <c r="O54" i="55"/>
  <c r="R54" i="55"/>
  <c r="F55" i="55"/>
  <c r="I55" i="55"/>
  <c r="L55" i="55"/>
  <c r="O55" i="55"/>
  <c r="R55" i="55"/>
  <c r="F56" i="55"/>
  <c r="I56" i="55"/>
  <c r="L56" i="55"/>
  <c r="O56" i="55"/>
  <c r="R56" i="55"/>
  <c r="F57" i="55"/>
  <c r="I57" i="55"/>
  <c r="L57" i="55"/>
  <c r="O57" i="55"/>
  <c r="R57" i="55"/>
  <c r="F58" i="55"/>
  <c r="I58" i="55"/>
  <c r="L58" i="55"/>
  <c r="O58" i="55"/>
  <c r="R58" i="55"/>
  <c r="F59" i="55"/>
  <c r="I59" i="55"/>
  <c r="L59" i="55"/>
  <c r="O59" i="55"/>
  <c r="R59" i="55"/>
  <c r="F60" i="55"/>
  <c r="I60" i="55"/>
  <c r="L60" i="55"/>
  <c r="O60" i="55"/>
  <c r="R60" i="55"/>
  <c r="F61" i="55"/>
  <c r="I61" i="55"/>
  <c r="L61" i="55"/>
  <c r="O61" i="55"/>
  <c r="R61" i="55"/>
  <c r="F62" i="55"/>
  <c r="I62" i="55"/>
  <c r="L62" i="55"/>
  <c r="O62" i="55"/>
  <c r="R62" i="55"/>
  <c r="F63" i="55"/>
  <c r="I63" i="55"/>
  <c r="L63" i="55"/>
  <c r="O63" i="55"/>
  <c r="R63" i="55"/>
  <c r="F64" i="55"/>
  <c r="I64" i="55"/>
  <c r="L64" i="55"/>
  <c r="O64" i="55"/>
  <c r="R64" i="55"/>
  <c r="F65" i="55"/>
  <c r="I65" i="55"/>
  <c r="L65" i="55"/>
  <c r="O65" i="55"/>
  <c r="R65" i="55"/>
  <c r="F66" i="55"/>
  <c r="I66" i="55"/>
  <c r="L66" i="55"/>
  <c r="O66" i="55"/>
  <c r="R66" i="55"/>
  <c r="F67" i="55"/>
  <c r="I67" i="55"/>
  <c r="L67" i="55"/>
  <c r="O67" i="55"/>
  <c r="R67" i="55"/>
  <c r="F68" i="55"/>
  <c r="I68" i="55"/>
  <c r="L68" i="55"/>
  <c r="O68" i="55"/>
  <c r="R68" i="55"/>
  <c r="F69" i="55"/>
  <c r="I69" i="55"/>
  <c r="L69" i="55"/>
  <c r="O69" i="55"/>
  <c r="R69" i="55"/>
  <c r="F70" i="55"/>
  <c r="I70" i="55"/>
  <c r="L70" i="55"/>
  <c r="O70" i="55"/>
  <c r="R70" i="55"/>
  <c r="F71" i="55"/>
  <c r="I71" i="55"/>
  <c r="L71" i="55"/>
  <c r="O71" i="55"/>
  <c r="R71" i="55"/>
  <c r="F72" i="55"/>
  <c r="I72" i="55"/>
  <c r="L72" i="55"/>
  <c r="O72" i="55"/>
  <c r="R72" i="55"/>
  <c r="F73" i="55"/>
  <c r="I73" i="55"/>
  <c r="L73" i="55"/>
  <c r="O73" i="55"/>
  <c r="R73" i="55"/>
  <c r="F74" i="55"/>
  <c r="I74" i="55"/>
  <c r="L74" i="55"/>
  <c r="O74" i="55"/>
  <c r="R74" i="55"/>
  <c r="F75" i="55"/>
  <c r="I75" i="55"/>
  <c r="L75" i="55"/>
  <c r="O75" i="55"/>
  <c r="R75" i="55"/>
  <c r="L21" i="55"/>
  <c r="N7" i="55"/>
  <c r="N8" i="55"/>
  <c r="N9" i="55"/>
  <c r="M7" i="55"/>
  <c r="M8" i="55"/>
  <c r="M9" i="55"/>
  <c r="L7" i="55"/>
  <c r="L8" i="55"/>
  <c r="L9" i="55"/>
  <c r="N5" i="55"/>
  <c r="M5" i="55"/>
  <c r="L5" i="55"/>
  <c r="J25" i="41"/>
  <c r="J26" i="41"/>
  <c r="J27" i="41"/>
  <c r="J28" i="41"/>
  <c r="J29" i="41"/>
  <c r="J30" i="41"/>
  <c r="J31" i="41"/>
  <c r="J32" i="41"/>
  <c r="J33" i="41"/>
  <c r="J34" i="41"/>
  <c r="J35" i="41"/>
  <c r="J36" i="41"/>
  <c r="J37" i="41"/>
  <c r="J38" i="41"/>
  <c r="J39" i="41"/>
  <c r="J40" i="41"/>
  <c r="J41" i="41"/>
  <c r="J42" i="41"/>
  <c r="J43" i="41"/>
  <c r="J44" i="41"/>
  <c r="J45" i="41"/>
  <c r="J46" i="41"/>
  <c r="J47" i="41"/>
  <c r="J48" i="41"/>
  <c r="J49" i="41"/>
  <c r="J50" i="41"/>
  <c r="J51" i="41"/>
  <c r="J52" i="41"/>
  <c r="J53" i="41"/>
  <c r="J54" i="41"/>
  <c r="J55" i="41"/>
  <c r="J56" i="41"/>
  <c r="J57" i="41"/>
  <c r="J58" i="41"/>
  <c r="J59" i="41"/>
  <c r="J60" i="41"/>
  <c r="J61" i="41"/>
  <c r="J62" i="41"/>
  <c r="J63" i="41"/>
  <c r="J64" i="41"/>
  <c r="J65" i="41"/>
  <c r="J66" i="41"/>
  <c r="J67" i="41"/>
  <c r="J68" i="41"/>
  <c r="J69" i="41"/>
  <c r="J70" i="41"/>
  <c r="J71" i="41"/>
  <c r="J72" i="41"/>
  <c r="J73" i="41"/>
  <c r="J74" i="41"/>
  <c r="J75" i="41"/>
  <c r="J76" i="41"/>
  <c r="J77" i="41"/>
  <c r="J23" i="41"/>
  <c r="Q6" i="55"/>
  <c r="Q7" i="55"/>
  <c r="Q8" i="55"/>
  <c r="Q9" i="55"/>
  <c r="Q5" i="55"/>
  <c r="P6" i="55"/>
  <c r="P7" i="55"/>
  <c r="P8" i="55"/>
  <c r="P9" i="55"/>
  <c r="P5" i="55"/>
  <c r="O6" i="55"/>
  <c r="O7" i="55"/>
  <c r="O8" i="55"/>
  <c r="O9" i="55"/>
  <c r="O5" i="55"/>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23" i="41"/>
  <c r="U72" i="55" l="1"/>
  <c r="U68" i="55"/>
  <c r="U64" i="55"/>
  <c r="U60" i="55"/>
  <c r="U56" i="55"/>
  <c r="U52" i="55"/>
  <c r="U48" i="55"/>
  <c r="U44" i="55"/>
  <c r="U42" i="55"/>
  <c r="U40" i="55"/>
  <c r="U38" i="55"/>
  <c r="U36" i="55"/>
  <c r="U34" i="55"/>
  <c r="U32" i="55"/>
  <c r="U30" i="55"/>
  <c r="U28" i="55"/>
  <c r="U26" i="55"/>
  <c r="U24" i="55"/>
  <c r="U74" i="55"/>
  <c r="U70" i="55"/>
  <c r="U66" i="55"/>
  <c r="U62" i="55"/>
  <c r="U58" i="55"/>
  <c r="U54" i="55"/>
  <c r="U50" i="55"/>
  <c r="U46" i="55"/>
  <c r="U75" i="55"/>
  <c r="U73" i="55"/>
  <c r="U71" i="55"/>
  <c r="U69" i="55"/>
  <c r="U67" i="55"/>
  <c r="U65" i="55"/>
  <c r="U63" i="55"/>
  <c r="U61" i="55"/>
  <c r="U59" i="55"/>
  <c r="U57" i="55"/>
  <c r="U55" i="55"/>
  <c r="U53" i="55"/>
  <c r="U51" i="55"/>
  <c r="U49" i="55"/>
  <c r="U47" i="55"/>
  <c r="U45" i="55"/>
  <c r="U43" i="55"/>
  <c r="U41" i="55"/>
  <c r="U39" i="55"/>
  <c r="U37" i="55"/>
  <c r="U35" i="55"/>
  <c r="U33" i="55"/>
  <c r="U31" i="55"/>
  <c r="U27" i="55"/>
  <c r="U25" i="55"/>
  <c r="U23" i="55"/>
  <c r="D66" i="78"/>
  <c r="D67" i="78"/>
  <c r="D68" i="78"/>
  <c r="D69" i="78"/>
  <c r="D70" i="78"/>
  <c r="D71" i="78"/>
  <c r="D72" i="78"/>
  <c r="D73" i="78"/>
  <c r="D74" i="78"/>
  <c r="D75" i="78"/>
  <c r="D76" i="78"/>
  <c r="D77" i="78"/>
  <c r="D78" i="78"/>
  <c r="D79" i="78"/>
  <c r="D80" i="78"/>
  <c r="D81" i="78"/>
  <c r="D82" i="78"/>
  <c r="D83" i="78"/>
  <c r="D84" i="78"/>
  <c r="D85" i="78"/>
  <c r="D86" i="78"/>
  <c r="D87" i="78"/>
  <c r="D88" i="78"/>
  <c r="D89" i="78"/>
  <c r="D90" i="78"/>
  <c r="D91" i="78"/>
  <c r="D92" i="78"/>
  <c r="D93" i="78"/>
  <c r="D94" i="78"/>
  <c r="D95" i="78"/>
  <c r="D96" i="78"/>
  <c r="D97" i="78"/>
  <c r="D98" i="78"/>
  <c r="D99" i="78"/>
  <c r="D100" i="78"/>
  <c r="D101" i="78"/>
  <c r="D102" i="78"/>
  <c r="D103" i="78"/>
  <c r="D104" i="78"/>
  <c r="D105" i="78"/>
  <c r="D106" i="78"/>
  <c r="D107" i="78"/>
  <c r="D108" i="78"/>
  <c r="D109" i="78"/>
  <c r="D110" i="78"/>
  <c r="D111" i="78"/>
  <c r="D112" i="78"/>
  <c r="D113" i="78"/>
  <c r="D114" i="78"/>
  <c r="D115" i="78"/>
  <c r="D116" i="78"/>
  <c r="D117" i="78"/>
  <c r="D118" i="78"/>
  <c r="D119" i="78"/>
  <c r="C66" i="78"/>
  <c r="C67" i="78"/>
  <c r="C68" i="78"/>
  <c r="C69" i="78"/>
  <c r="C70" i="78"/>
  <c r="C71" i="78"/>
  <c r="C72" i="78"/>
  <c r="C73" i="78"/>
  <c r="C74" i="78"/>
  <c r="C75" i="78"/>
  <c r="C76" i="78"/>
  <c r="C77" i="78"/>
  <c r="C78" i="78"/>
  <c r="C79" i="78"/>
  <c r="C80" i="78"/>
  <c r="C81" i="78"/>
  <c r="C82" i="78"/>
  <c r="C83" i="78"/>
  <c r="C84" i="78"/>
  <c r="C85" i="78"/>
  <c r="C86" i="78"/>
  <c r="C87" i="78"/>
  <c r="C88" i="78"/>
  <c r="C89" i="78"/>
  <c r="C90" i="78"/>
  <c r="C91" i="78"/>
  <c r="C92" i="78"/>
  <c r="C93" i="78"/>
  <c r="C94" i="78"/>
  <c r="C95" i="78"/>
  <c r="C96" i="78"/>
  <c r="C97" i="78"/>
  <c r="C98" i="78"/>
  <c r="C99" i="78"/>
  <c r="C100" i="78"/>
  <c r="C101" i="78"/>
  <c r="C102" i="78"/>
  <c r="C103" i="78"/>
  <c r="C104" i="78"/>
  <c r="C105" i="78"/>
  <c r="C106" i="78"/>
  <c r="C107" i="78"/>
  <c r="C108" i="78"/>
  <c r="C109" i="78"/>
  <c r="C110" i="78"/>
  <c r="C111" i="78"/>
  <c r="C112" i="78"/>
  <c r="C113" i="78"/>
  <c r="C114" i="78"/>
  <c r="C115" i="78"/>
  <c r="C116" i="78"/>
  <c r="C117" i="78"/>
  <c r="C118" i="78"/>
  <c r="C119" i="78"/>
  <c r="C65" i="78"/>
  <c r="C6" i="78"/>
  <c r="C7" i="78"/>
  <c r="C8" i="78"/>
  <c r="C9" i="78"/>
  <c r="C10" i="78"/>
  <c r="C11" i="78"/>
  <c r="C12" i="78"/>
  <c r="C13" i="78"/>
  <c r="C14" i="78"/>
  <c r="C15" i="78"/>
  <c r="C16" i="78"/>
  <c r="C17" i="78"/>
  <c r="C18" i="78"/>
  <c r="C19" i="78"/>
  <c r="C20" i="78"/>
  <c r="C21" i="78"/>
  <c r="C22" i="78"/>
  <c r="C23" i="78"/>
  <c r="C24" i="78"/>
  <c r="C25" i="78"/>
  <c r="C26" i="78"/>
  <c r="C27" i="78"/>
  <c r="C28" i="78"/>
  <c r="C29" i="78"/>
  <c r="C30" i="78"/>
  <c r="C31" i="78"/>
  <c r="C32" i="78"/>
  <c r="C33" i="78"/>
  <c r="C34" i="78"/>
  <c r="C35" i="78"/>
  <c r="C36" i="78"/>
  <c r="C37" i="78"/>
  <c r="C38" i="78"/>
  <c r="C39" i="78"/>
  <c r="C40" i="78"/>
  <c r="C41" i="78"/>
  <c r="C42" i="78"/>
  <c r="C43" i="78"/>
  <c r="C44" i="78"/>
  <c r="C45" i="78"/>
  <c r="C46" i="78"/>
  <c r="C47" i="78"/>
  <c r="C48" i="78"/>
  <c r="C49" i="78"/>
  <c r="C50" i="78"/>
  <c r="C51" i="78"/>
  <c r="C52" i="78"/>
  <c r="C53" i="78"/>
  <c r="C54" i="78"/>
  <c r="C55" i="78"/>
  <c r="C56" i="78"/>
  <c r="C57" i="78"/>
  <c r="C58" i="78"/>
  <c r="C59" i="78"/>
  <c r="C5" i="78"/>
  <c r="M34" i="41"/>
  <c r="M35" i="41"/>
  <c r="M36" i="41"/>
  <c r="M37" i="41"/>
  <c r="M38" i="41"/>
  <c r="M39" i="41"/>
  <c r="M40" i="41"/>
  <c r="M41" i="41"/>
  <c r="M42" i="41"/>
  <c r="M43" i="41"/>
  <c r="M44" i="41"/>
  <c r="M45" i="41"/>
  <c r="M46" i="41"/>
  <c r="M47" i="41"/>
  <c r="M48" i="41"/>
  <c r="M49" i="41"/>
  <c r="M50" i="41"/>
  <c r="M51" i="41"/>
  <c r="M52" i="41"/>
  <c r="M53" i="41"/>
  <c r="M54" i="41"/>
  <c r="M55" i="41"/>
  <c r="M56" i="41"/>
  <c r="M57" i="41"/>
  <c r="M58" i="41"/>
  <c r="M59" i="41"/>
  <c r="M60" i="41"/>
  <c r="M61" i="41"/>
  <c r="M62" i="41"/>
  <c r="M63" i="41"/>
  <c r="M64" i="41"/>
  <c r="M65" i="41"/>
  <c r="M66" i="41"/>
  <c r="M67" i="41"/>
  <c r="M68" i="41"/>
  <c r="M69" i="41"/>
  <c r="M70" i="41"/>
  <c r="M71" i="41"/>
  <c r="M72" i="41"/>
  <c r="M73" i="41"/>
  <c r="M74" i="41"/>
  <c r="M75" i="41"/>
  <c r="M76" i="41"/>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D48" i="55"/>
  <c r="D49" i="55"/>
  <c r="D50" i="55"/>
  <c r="D51" i="55"/>
  <c r="D52" i="55"/>
  <c r="D53" i="55"/>
  <c r="D54" i="55"/>
  <c r="D55" i="55"/>
  <c r="D56" i="55"/>
  <c r="D57" i="55"/>
  <c r="D58" i="55"/>
  <c r="D59" i="55"/>
  <c r="D60" i="55"/>
  <c r="D61" i="55"/>
  <c r="D62" i="55"/>
  <c r="D63" i="55"/>
  <c r="D64" i="55"/>
  <c r="D65" i="55"/>
  <c r="D66" i="55"/>
  <c r="D67" i="55"/>
  <c r="D68" i="55"/>
  <c r="D69" i="55"/>
  <c r="D70" i="55"/>
  <c r="D71" i="55"/>
  <c r="D72" i="55"/>
  <c r="D73" i="55"/>
  <c r="D74" i="55"/>
  <c r="D75" i="55"/>
  <c r="D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21" i="55"/>
  <c r="E23" i="84"/>
  <c r="E24" i="84"/>
  <c r="E25" i="84"/>
  <c r="E26" i="84"/>
  <c r="E27" i="84"/>
  <c r="E28" i="84"/>
  <c r="E29" i="84"/>
  <c r="E30" i="84"/>
  <c r="E31" i="84"/>
  <c r="E32" i="84"/>
  <c r="E33" i="84"/>
  <c r="E34" i="84"/>
  <c r="E35" i="84"/>
  <c r="E36" i="84"/>
  <c r="E37" i="84"/>
  <c r="E38" i="84"/>
  <c r="E39" i="84"/>
  <c r="E40" i="84"/>
  <c r="E41" i="84"/>
  <c r="E42" i="84"/>
  <c r="E43" i="84"/>
  <c r="E44" i="84"/>
  <c r="E45" i="84"/>
  <c r="E46" i="84"/>
  <c r="E47" i="84"/>
  <c r="E48" i="84"/>
  <c r="E49" i="84"/>
  <c r="E50" i="84"/>
  <c r="E51" i="84"/>
  <c r="E52" i="84"/>
  <c r="E53" i="84"/>
  <c r="E54" i="84"/>
  <c r="E55" i="84"/>
  <c r="E56" i="84"/>
  <c r="E57" i="84"/>
  <c r="E58" i="84"/>
  <c r="E59" i="84"/>
  <c r="E60" i="84"/>
  <c r="E61" i="84"/>
  <c r="E62" i="84"/>
  <c r="E63" i="84"/>
  <c r="E64" i="84"/>
  <c r="E65" i="84"/>
  <c r="E66" i="84"/>
  <c r="E67" i="84"/>
  <c r="E68" i="84"/>
  <c r="E69" i="84"/>
  <c r="E70" i="84"/>
  <c r="E71" i="84"/>
  <c r="E72" i="84"/>
  <c r="E73" i="84"/>
  <c r="E74" i="84"/>
  <c r="E75" i="84"/>
  <c r="E76" i="84"/>
  <c r="E22" i="84"/>
  <c r="L77" i="41"/>
  <c r="E10" i="71" l="1"/>
  <c r="E9" i="71"/>
  <c r="F10" i="82"/>
  <c r="F9" i="82"/>
  <c r="F10" i="39"/>
  <c r="F9" i="39"/>
  <c r="F10" i="40"/>
  <c r="F9" i="40"/>
  <c r="N6" i="55" l="1"/>
  <c r="L6" i="55"/>
  <c r="Z10" i="39"/>
  <c r="Z9" i="39"/>
  <c r="R10" i="40" l="1"/>
  <c r="R9" i="40"/>
  <c r="K6" i="78" l="1"/>
  <c r="K7" i="78"/>
  <c r="K8" i="78"/>
  <c r="K9" i="78"/>
  <c r="K10" i="78"/>
  <c r="K11" i="78"/>
  <c r="K12" i="78"/>
  <c r="K13" i="78"/>
  <c r="K14" i="78"/>
  <c r="K15" i="78"/>
  <c r="K16" i="78"/>
  <c r="K17" i="78"/>
  <c r="K18" i="78"/>
  <c r="K19" i="78"/>
  <c r="K20" i="78"/>
  <c r="K21" i="78"/>
  <c r="K22" i="78"/>
  <c r="K23" i="78"/>
  <c r="K24" i="78"/>
  <c r="K25" i="78"/>
  <c r="K26" i="78"/>
  <c r="K27" i="78"/>
  <c r="K28" i="78"/>
  <c r="K29" i="78"/>
  <c r="K30" i="78"/>
  <c r="K31" i="78"/>
  <c r="K32" i="78"/>
  <c r="K33" i="78"/>
  <c r="K34" i="78"/>
  <c r="K35" i="78"/>
  <c r="K36" i="78"/>
  <c r="K37" i="78"/>
  <c r="K38" i="78"/>
  <c r="K39" i="78"/>
  <c r="K40" i="78"/>
  <c r="K41" i="78"/>
  <c r="K42" i="78"/>
  <c r="K43" i="78"/>
  <c r="K44" i="78"/>
  <c r="K45" i="78"/>
  <c r="K46" i="78"/>
  <c r="K47" i="78"/>
  <c r="K48" i="78"/>
  <c r="K49" i="78"/>
  <c r="K50" i="78"/>
  <c r="K51" i="78"/>
  <c r="K52" i="78"/>
  <c r="K53" i="78"/>
  <c r="K54" i="78"/>
  <c r="K55" i="78"/>
  <c r="K56" i="78"/>
  <c r="K57" i="78"/>
  <c r="K58" i="78"/>
  <c r="K59" i="78"/>
  <c r="J6" i="78"/>
  <c r="J7" i="78"/>
  <c r="J8" i="78"/>
  <c r="J9" i="78"/>
  <c r="J10" i="78"/>
  <c r="J11" i="78"/>
  <c r="J12" i="78"/>
  <c r="J13" i="78"/>
  <c r="J14" i="78"/>
  <c r="J15" i="78"/>
  <c r="J16" i="78"/>
  <c r="J17" i="78"/>
  <c r="J18" i="78"/>
  <c r="J19" i="78"/>
  <c r="J20" i="78"/>
  <c r="J21" i="78"/>
  <c r="J22" i="78"/>
  <c r="J23" i="78"/>
  <c r="J24" i="78"/>
  <c r="J25" i="78"/>
  <c r="J26" i="78"/>
  <c r="J27" i="78"/>
  <c r="J28" i="78"/>
  <c r="J29" i="78"/>
  <c r="J30" i="78"/>
  <c r="J31" i="78"/>
  <c r="J32" i="78"/>
  <c r="J33" i="78"/>
  <c r="J34" i="78"/>
  <c r="J35" i="78"/>
  <c r="J36" i="78"/>
  <c r="J37" i="78"/>
  <c r="J38" i="78"/>
  <c r="J39" i="78"/>
  <c r="J40" i="78"/>
  <c r="J41" i="78"/>
  <c r="J42" i="78"/>
  <c r="J43" i="78"/>
  <c r="J44" i="78"/>
  <c r="J45" i="78"/>
  <c r="J46" i="78"/>
  <c r="J47" i="78"/>
  <c r="J48" i="78"/>
  <c r="J49" i="78"/>
  <c r="J50" i="78"/>
  <c r="J51" i="78"/>
  <c r="J52" i="78"/>
  <c r="J53" i="78"/>
  <c r="J54" i="78"/>
  <c r="J55" i="78"/>
  <c r="J56" i="78"/>
  <c r="J57" i="78"/>
  <c r="J58" i="78"/>
  <c r="J59" i="78"/>
  <c r="I6" i="78"/>
  <c r="I7" i="78"/>
  <c r="I8" i="78"/>
  <c r="I9" i="78"/>
  <c r="I10" i="78"/>
  <c r="I11" i="78"/>
  <c r="I12" i="78"/>
  <c r="I13" i="78"/>
  <c r="I14" i="78"/>
  <c r="I15" i="78"/>
  <c r="I16" i="78"/>
  <c r="I17" i="78"/>
  <c r="I18" i="78"/>
  <c r="I19" i="78"/>
  <c r="I20" i="78"/>
  <c r="I21" i="78"/>
  <c r="I22" i="78"/>
  <c r="I23" i="78"/>
  <c r="I24" i="78"/>
  <c r="I25" i="78"/>
  <c r="I26" i="78"/>
  <c r="I27" i="78"/>
  <c r="I28" i="78"/>
  <c r="I29" i="78"/>
  <c r="I30" i="78"/>
  <c r="I31" i="78"/>
  <c r="I32" i="78"/>
  <c r="I33" i="78"/>
  <c r="I34" i="78"/>
  <c r="I35" i="78"/>
  <c r="I36" i="78"/>
  <c r="I37" i="78"/>
  <c r="I38" i="78"/>
  <c r="I39" i="78"/>
  <c r="I40" i="78"/>
  <c r="I41" i="78"/>
  <c r="I42" i="78"/>
  <c r="I43" i="78"/>
  <c r="I44" i="78"/>
  <c r="I45" i="78"/>
  <c r="I46" i="78"/>
  <c r="I47" i="78"/>
  <c r="I48" i="78"/>
  <c r="I49" i="78"/>
  <c r="I50" i="78"/>
  <c r="I51" i="78"/>
  <c r="I52" i="78"/>
  <c r="I53" i="78"/>
  <c r="I54" i="78"/>
  <c r="I55" i="78"/>
  <c r="I56" i="78"/>
  <c r="I57" i="78"/>
  <c r="I58" i="78"/>
  <c r="I59" i="78"/>
  <c r="H6" i="78"/>
  <c r="H7" i="78"/>
  <c r="H8" i="78"/>
  <c r="H9" i="78"/>
  <c r="H10" i="78"/>
  <c r="H11" i="78"/>
  <c r="H12" i="78"/>
  <c r="H13" i="78"/>
  <c r="H14" i="78"/>
  <c r="H15" i="78"/>
  <c r="H16" i="78"/>
  <c r="H17" i="78"/>
  <c r="H18" i="78"/>
  <c r="H19" i="78"/>
  <c r="H20" i="78"/>
  <c r="H21" i="78"/>
  <c r="H22" i="78"/>
  <c r="H23" i="78"/>
  <c r="H24" i="78"/>
  <c r="H25" i="78"/>
  <c r="H26" i="78"/>
  <c r="H27" i="78"/>
  <c r="H28" i="78"/>
  <c r="H29" i="78"/>
  <c r="H30" i="78"/>
  <c r="H31" i="78"/>
  <c r="H32" i="78"/>
  <c r="H33" i="78"/>
  <c r="H34" i="78"/>
  <c r="H35" i="78"/>
  <c r="H36" i="78"/>
  <c r="H37" i="78"/>
  <c r="H38" i="78"/>
  <c r="H39" i="78"/>
  <c r="H40" i="78"/>
  <c r="H41" i="78"/>
  <c r="H42" i="78"/>
  <c r="H43" i="78"/>
  <c r="H44" i="78"/>
  <c r="H45" i="78"/>
  <c r="H46" i="78"/>
  <c r="H47" i="78"/>
  <c r="H48" i="78"/>
  <c r="H49" i="78"/>
  <c r="H50" i="78"/>
  <c r="H51" i="78"/>
  <c r="H52" i="78"/>
  <c r="H53" i="78"/>
  <c r="H54" i="78"/>
  <c r="H55" i="78"/>
  <c r="H56" i="78"/>
  <c r="H57" i="78"/>
  <c r="H58" i="78"/>
  <c r="H59" i="78"/>
  <c r="G7" i="78"/>
  <c r="G8" i="78"/>
  <c r="G9" i="78"/>
  <c r="G10" i="78"/>
  <c r="G11" i="78"/>
  <c r="G12" i="78"/>
  <c r="G14" i="78"/>
  <c r="G15" i="78"/>
  <c r="G16" i="78"/>
  <c r="G17" i="78"/>
  <c r="G18" i="78"/>
  <c r="G19" i="78"/>
  <c r="G20" i="78"/>
  <c r="G21" i="78"/>
  <c r="G22" i="78"/>
  <c r="G23" i="78"/>
  <c r="G24" i="78"/>
  <c r="G25" i="78"/>
  <c r="G26" i="78"/>
  <c r="G27" i="78"/>
  <c r="G28" i="78"/>
  <c r="G29" i="78"/>
  <c r="G30" i="78"/>
  <c r="G31" i="78"/>
  <c r="G32" i="78"/>
  <c r="G33" i="78"/>
  <c r="G34" i="78"/>
  <c r="G35" i="78"/>
  <c r="G36" i="78"/>
  <c r="G37" i="78"/>
  <c r="G38" i="78"/>
  <c r="G39" i="78"/>
  <c r="G40" i="78"/>
  <c r="G41" i="78"/>
  <c r="G42" i="78"/>
  <c r="G43" i="78"/>
  <c r="G44" i="78"/>
  <c r="G45" i="78"/>
  <c r="G46" i="78"/>
  <c r="G47" i="78"/>
  <c r="G48" i="78"/>
  <c r="G49" i="78"/>
  <c r="G50" i="78"/>
  <c r="G51" i="78"/>
  <c r="G52" i="78"/>
  <c r="G53" i="78"/>
  <c r="G54" i="78"/>
  <c r="G55" i="78"/>
  <c r="G56" i="78"/>
  <c r="G57" i="78"/>
  <c r="G58" i="78"/>
  <c r="G59" i="78"/>
  <c r="F7" i="78"/>
  <c r="F8" i="78"/>
  <c r="F9" i="78"/>
  <c r="F10" i="78"/>
  <c r="F11" i="78"/>
  <c r="F12"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E6" i="78"/>
  <c r="E7" i="78"/>
  <c r="E8" i="78"/>
  <c r="E9" i="78"/>
  <c r="E10" i="78"/>
  <c r="E11" i="78"/>
  <c r="E12" i="78"/>
  <c r="E14" i="78"/>
  <c r="E15" i="78"/>
  <c r="E16" i="78"/>
  <c r="E17" i="78"/>
  <c r="E18" i="78"/>
  <c r="E19" i="78"/>
  <c r="E20" i="78"/>
  <c r="E21" i="78"/>
  <c r="E22" i="78"/>
  <c r="E23" i="78"/>
  <c r="E24" i="78"/>
  <c r="E25" i="78"/>
  <c r="E26" i="78"/>
  <c r="E27" i="78"/>
  <c r="E28" i="78"/>
  <c r="E29" i="78"/>
  <c r="E30" i="78"/>
  <c r="E31" i="78"/>
  <c r="E32" i="78"/>
  <c r="E33" i="78"/>
  <c r="E34" i="78"/>
  <c r="E35" i="78"/>
  <c r="E36" i="78"/>
  <c r="E37" i="78"/>
  <c r="E38" i="78"/>
  <c r="E39" i="78"/>
  <c r="E40" i="78"/>
  <c r="E41" i="78"/>
  <c r="E42" i="78"/>
  <c r="E43" i="78"/>
  <c r="E44" i="78"/>
  <c r="E45" i="78"/>
  <c r="E46" i="78"/>
  <c r="E47" i="78"/>
  <c r="E48" i="78"/>
  <c r="E49" i="78"/>
  <c r="E50" i="78"/>
  <c r="E51" i="78"/>
  <c r="E52" i="78"/>
  <c r="E53" i="78"/>
  <c r="E54" i="78"/>
  <c r="E55" i="78"/>
  <c r="E56" i="78"/>
  <c r="E57" i="78"/>
  <c r="E58" i="78"/>
  <c r="E59" i="78"/>
  <c r="D6" i="78"/>
  <c r="D7" i="78"/>
  <c r="D8" i="78"/>
  <c r="D9" i="78"/>
  <c r="D10" i="78"/>
  <c r="D11" i="78"/>
  <c r="D12" i="78"/>
  <c r="D14" i="78"/>
  <c r="D15" i="78"/>
  <c r="D16" i="78"/>
  <c r="D17" i="78"/>
  <c r="D18" i="78"/>
  <c r="D19" i="78"/>
  <c r="D20" i="78"/>
  <c r="D21" i="78"/>
  <c r="D22" i="78"/>
  <c r="D23" i="78"/>
  <c r="D24" i="78"/>
  <c r="D25" i="78"/>
  <c r="D26" i="78"/>
  <c r="D27" i="78"/>
  <c r="D28" i="78"/>
  <c r="D29" i="78"/>
  <c r="D30" i="78"/>
  <c r="D31" i="78"/>
  <c r="D32" i="78"/>
  <c r="D33" i="78"/>
  <c r="D34" i="78"/>
  <c r="D35" i="78"/>
  <c r="D36" i="78"/>
  <c r="D37" i="78"/>
  <c r="D38" i="78"/>
  <c r="D39" i="78"/>
  <c r="D40" i="78"/>
  <c r="D41" i="78"/>
  <c r="D42" i="78"/>
  <c r="D43" i="78"/>
  <c r="D44" i="78"/>
  <c r="D45" i="78"/>
  <c r="D46" i="78"/>
  <c r="D47" i="78"/>
  <c r="D48" i="78"/>
  <c r="D49" i="78"/>
  <c r="D50" i="78"/>
  <c r="D51" i="78"/>
  <c r="D52" i="78"/>
  <c r="D53" i="78"/>
  <c r="D54" i="78"/>
  <c r="D55" i="78"/>
  <c r="D56" i="78"/>
  <c r="D57" i="78"/>
  <c r="D58" i="78"/>
  <c r="D59" i="78"/>
  <c r="K10" i="71"/>
  <c r="K9" i="71"/>
  <c r="K24" i="84"/>
  <c r="K25" i="84"/>
  <c r="K26" i="84"/>
  <c r="K27" i="84"/>
  <c r="K28" i="84"/>
  <c r="K29" i="84"/>
  <c r="K30" i="84"/>
  <c r="K31" i="84"/>
  <c r="K32" i="84"/>
  <c r="K33" i="84"/>
  <c r="K34" i="84"/>
  <c r="K35" i="84"/>
  <c r="K36" i="84"/>
  <c r="K37" i="84"/>
  <c r="K38" i="84"/>
  <c r="K39" i="84"/>
  <c r="K40" i="84"/>
  <c r="K41" i="84"/>
  <c r="K42" i="84"/>
  <c r="K43" i="84"/>
  <c r="K44" i="84"/>
  <c r="K45" i="84"/>
  <c r="K46" i="84"/>
  <c r="K47" i="84"/>
  <c r="K48" i="84"/>
  <c r="K49" i="84"/>
  <c r="K50" i="84"/>
  <c r="K51" i="84"/>
  <c r="K52" i="84"/>
  <c r="K53" i="84"/>
  <c r="K54" i="84"/>
  <c r="K55" i="84"/>
  <c r="K56" i="84"/>
  <c r="K57" i="84"/>
  <c r="K58" i="84"/>
  <c r="K59" i="84"/>
  <c r="K60" i="84"/>
  <c r="K61" i="84"/>
  <c r="K62" i="84"/>
  <c r="K63" i="84"/>
  <c r="K64" i="84"/>
  <c r="K65" i="84"/>
  <c r="K66" i="84"/>
  <c r="K67" i="84"/>
  <c r="K68" i="84"/>
  <c r="K69" i="84"/>
  <c r="K70" i="84"/>
  <c r="K71" i="84"/>
  <c r="K72" i="84"/>
  <c r="K73" i="84"/>
  <c r="K74" i="84"/>
  <c r="K75" i="84"/>
  <c r="K76" i="84"/>
  <c r="J24" i="84"/>
  <c r="J25" i="84"/>
  <c r="J26" i="84"/>
  <c r="J27" i="84"/>
  <c r="J28" i="84"/>
  <c r="J29" i="84"/>
  <c r="J30" i="84"/>
  <c r="J31" i="84"/>
  <c r="J32" i="84"/>
  <c r="J33" i="84"/>
  <c r="J34" i="84"/>
  <c r="J35" i="84"/>
  <c r="J36" i="84"/>
  <c r="J37" i="84"/>
  <c r="J38" i="84"/>
  <c r="J39" i="84"/>
  <c r="J40" i="84"/>
  <c r="J41" i="84"/>
  <c r="J42" i="84"/>
  <c r="J43" i="84"/>
  <c r="J44" i="84"/>
  <c r="J45" i="84"/>
  <c r="J46" i="84"/>
  <c r="J47" i="84"/>
  <c r="J48" i="84"/>
  <c r="J49" i="84"/>
  <c r="J50" i="84"/>
  <c r="J51" i="84"/>
  <c r="J52" i="84"/>
  <c r="J53" i="84"/>
  <c r="J54" i="84"/>
  <c r="J55" i="84"/>
  <c r="J56" i="84"/>
  <c r="J57" i="84"/>
  <c r="J58" i="84"/>
  <c r="J59" i="84"/>
  <c r="J60" i="84"/>
  <c r="J61" i="84"/>
  <c r="J62" i="84"/>
  <c r="J63" i="84"/>
  <c r="J64" i="84"/>
  <c r="J65" i="84"/>
  <c r="J66" i="84"/>
  <c r="J67" i="84"/>
  <c r="J68" i="84"/>
  <c r="J69" i="84"/>
  <c r="J70" i="84"/>
  <c r="J71" i="84"/>
  <c r="J72" i="84"/>
  <c r="J73" i="84"/>
  <c r="J74" i="84"/>
  <c r="J75" i="84"/>
  <c r="J76" i="84"/>
  <c r="D23" i="84"/>
  <c r="D24" i="84"/>
  <c r="D25" i="84"/>
  <c r="D26" i="84"/>
  <c r="D27" i="84"/>
  <c r="D28" i="84"/>
  <c r="D29" i="84"/>
  <c r="D30" i="84"/>
  <c r="D31" i="84"/>
  <c r="D32" i="84"/>
  <c r="D33" i="84"/>
  <c r="D34" i="84"/>
  <c r="D35" i="84"/>
  <c r="D36" i="84"/>
  <c r="D37" i="84"/>
  <c r="D38" i="84"/>
  <c r="D39" i="84"/>
  <c r="D40" i="84"/>
  <c r="D41" i="84"/>
  <c r="D42" i="84"/>
  <c r="D43" i="84"/>
  <c r="D44" i="84"/>
  <c r="D45" i="84"/>
  <c r="D46" i="84"/>
  <c r="D47" i="84"/>
  <c r="D48" i="84"/>
  <c r="D49" i="84"/>
  <c r="D50" i="84"/>
  <c r="D51" i="84"/>
  <c r="D52" i="84"/>
  <c r="D53" i="84"/>
  <c r="D54" i="84"/>
  <c r="D55" i="84"/>
  <c r="D56" i="84"/>
  <c r="D57" i="84"/>
  <c r="D58" i="84"/>
  <c r="D59" i="84"/>
  <c r="D60" i="84"/>
  <c r="D61" i="84"/>
  <c r="D62" i="84"/>
  <c r="D63" i="84"/>
  <c r="D64" i="84"/>
  <c r="D65" i="84"/>
  <c r="D66" i="84"/>
  <c r="D67" i="84"/>
  <c r="D68" i="84"/>
  <c r="D69" i="84"/>
  <c r="D70" i="84"/>
  <c r="D71" i="84"/>
  <c r="D72" i="84"/>
  <c r="D73" i="84"/>
  <c r="D74" i="84"/>
  <c r="D75" i="84"/>
  <c r="D76" i="84"/>
  <c r="C23" i="84"/>
  <c r="C24" i="84"/>
  <c r="C25" i="84"/>
  <c r="C26" i="84"/>
  <c r="C27" i="84"/>
  <c r="C28" i="84"/>
  <c r="C29" i="84"/>
  <c r="C30" i="84"/>
  <c r="C31" i="84"/>
  <c r="C32" i="84"/>
  <c r="C33" i="84"/>
  <c r="C34" i="84"/>
  <c r="C35" i="84"/>
  <c r="C36" i="84"/>
  <c r="C37" i="84"/>
  <c r="C38" i="84"/>
  <c r="C39" i="84"/>
  <c r="C40" i="84"/>
  <c r="C41" i="84"/>
  <c r="C42" i="84"/>
  <c r="C43" i="84"/>
  <c r="C44" i="84"/>
  <c r="C45" i="84"/>
  <c r="C46" i="84"/>
  <c r="C47" i="84"/>
  <c r="C48" i="84"/>
  <c r="C49" i="84"/>
  <c r="C50" i="84"/>
  <c r="C51" i="84"/>
  <c r="C52" i="84"/>
  <c r="C53" i="84"/>
  <c r="C54" i="84"/>
  <c r="C55" i="84"/>
  <c r="C56" i="84"/>
  <c r="C57" i="84"/>
  <c r="C58" i="84"/>
  <c r="C59" i="84"/>
  <c r="C60" i="84"/>
  <c r="C61" i="84"/>
  <c r="C62" i="84"/>
  <c r="C63" i="84"/>
  <c r="C64" i="84"/>
  <c r="C65" i="84"/>
  <c r="C66" i="84"/>
  <c r="C67" i="84"/>
  <c r="C68" i="84"/>
  <c r="C69" i="84"/>
  <c r="C70" i="84"/>
  <c r="C71" i="84"/>
  <c r="C72" i="84"/>
  <c r="C73" i="84"/>
  <c r="C74" i="84"/>
  <c r="C75" i="84"/>
  <c r="C76" i="84"/>
  <c r="L24" i="41"/>
  <c r="L23" i="84" s="1"/>
  <c r="L25" i="41"/>
  <c r="L24" i="84" s="1"/>
  <c r="L26" i="41"/>
  <c r="L25" i="84" s="1"/>
  <c r="L27" i="41"/>
  <c r="L26" i="84" s="1"/>
  <c r="L28" i="41"/>
  <c r="L27" i="84" s="1"/>
  <c r="L29" i="41"/>
  <c r="L28" i="84" s="1"/>
  <c r="L30" i="41"/>
  <c r="L29" i="84" s="1"/>
  <c r="L31" i="41"/>
  <c r="L30" i="84" s="1"/>
  <c r="L32" i="41"/>
  <c r="L31" i="84" s="1"/>
  <c r="L33" i="41"/>
  <c r="L32" i="84" s="1"/>
  <c r="L34" i="41"/>
  <c r="L33" i="84" s="1"/>
  <c r="L35" i="41"/>
  <c r="L34" i="84" s="1"/>
  <c r="L36" i="41"/>
  <c r="L35" i="84" s="1"/>
  <c r="L37" i="41"/>
  <c r="L36" i="84" s="1"/>
  <c r="L38" i="41"/>
  <c r="L37" i="84" s="1"/>
  <c r="L39" i="41"/>
  <c r="L38" i="84" s="1"/>
  <c r="L40" i="41"/>
  <c r="L39" i="84" s="1"/>
  <c r="L41" i="41"/>
  <c r="L40" i="84" s="1"/>
  <c r="L42" i="41"/>
  <c r="L41" i="84" s="1"/>
  <c r="L43" i="41"/>
  <c r="L42" i="84" s="1"/>
  <c r="L44" i="41"/>
  <c r="L43" i="84" s="1"/>
  <c r="L45" i="41"/>
  <c r="L44" i="84" s="1"/>
  <c r="L46" i="41"/>
  <c r="L45" i="84" s="1"/>
  <c r="L47" i="41"/>
  <c r="L46" i="84" s="1"/>
  <c r="L48" i="41"/>
  <c r="L47" i="84" s="1"/>
  <c r="L49" i="41"/>
  <c r="L48" i="84" s="1"/>
  <c r="L50" i="41"/>
  <c r="L49" i="84" s="1"/>
  <c r="L51" i="41"/>
  <c r="L50" i="84" s="1"/>
  <c r="L52" i="41"/>
  <c r="L51" i="84" s="1"/>
  <c r="L53" i="41"/>
  <c r="L52" i="84" s="1"/>
  <c r="L54" i="41"/>
  <c r="L53" i="84" s="1"/>
  <c r="L55" i="41"/>
  <c r="L54" i="84" s="1"/>
  <c r="L56" i="41"/>
  <c r="L55" i="84" s="1"/>
  <c r="L57" i="41"/>
  <c r="L56" i="84" s="1"/>
  <c r="L58" i="41"/>
  <c r="L57" i="84" s="1"/>
  <c r="L59" i="41"/>
  <c r="L58" i="84" s="1"/>
  <c r="L60" i="41"/>
  <c r="L59" i="84" s="1"/>
  <c r="L61" i="41"/>
  <c r="L60" i="84" s="1"/>
  <c r="L62" i="41"/>
  <c r="L61" i="84" s="1"/>
  <c r="L63" i="41"/>
  <c r="L62" i="84" s="1"/>
  <c r="L64" i="41"/>
  <c r="L63" i="84" s="1"/>
  <c r="L65" i="41"/>
  <c r="L64" i="84" s="1"/>
  <c r="L66" i="41"/>
  <c r="L65" i="84" s="1"/>
  <c r="L67" i="41"/>
  <c r="L66" i="84" s="1"/>
  <c r="L68" i="41"/>
  <c r="L67" i="84" s="1"/>
  <c r="L69" i="41"/>
  <c r="L68" i="84" s="1"/>
  <c r="L70" i="41"/>
  <c r="L69" i="84" s="1"/>
  <c r="L71" i="41"/>
  <c r="L70" i="84" s="1"/>
  <c r="L72" i="41"/>
  <c r="L71" i="84" s="1"/>
  <c r="L73" i="41"/>
  <c r="L72" i="84" s="1"/>
  <c r="L74" i="41"/>
  <c r="L73" i="84" s="1"/>
  <c r="L75" i="41"/>
  <c r="L74" i="84" s="1"/>
  <c r="L76" i="41"/>
  <c r="L75" i="84" s="1"/>
  <c r="L76" i="84"/>
  <c r="K23" i="84"/>
  <c r="I24" i="41"/>
  <c r="I23" i="84" s="1"/>
  <c r="I25" i="41"/>
  <c r="I24" i="84" s="1"/>
  <c r="I26" i="41"/>
  <c r="I25" i="84" s="1"/>
  <c r="I27" i="41"/>
  <c r="I26" i="84" s="1"/>
  <c r="I28" i="41"/>
  <c r="I27" i="84" s="1"/>
  <c r="I29" i="41"/>
  <c r="I28" i="84" s="1"/>
  <c r="I30" i="41"/>
  <c r="I29" i="84" s="1"/>
  <c r="I31" i="41"/>
  <c r="I30" i="84" s="1"/>
  <c r="I32" i="41"/>
  <c r="I31" i="84" s="1"/>
  <c r="I33" i="41"/>
  <c r="I32" i="84" s="1"/>
  <c r="I34" i="41"/>
  <c r="I33" i="84" s="1"/>
  <c r="I35" i="41"/>
  <c r="I34" i="84" s="1"/>
  <c r="I36" i="41"/>
  <c r="I35" i="84" s="1"/>
  <c r="I37" i="41"/>
  <c r="I36" i="84" s="1"/>
  <c r="I38" i="41"/>
  <c r="I37" i="84" s="1"/>
  <c r="I39" i="41"/>
  <c r="I38" i="84" s="1"/>
  <c r="I40" i="41"/>
  <c r="I39" i="84" s="1"/>
  <c r="I41" i="41"/>
  <c r="I40" i="84" s="1"/>
  <c r="I42" i="41"/>
  <c r="I41" i="84" s="1"/>
  <c r="I43" i="41"/>
  <c r="I42" i="84" s="1"/>
  <c r="I44" i="41"/>
  <c r="I43" i="84" s="1"/>
  <c r="I45" i="41"/>
  <c r="I44" i="84" s="1"/>
  <c r="I46" i="41"/>
  <c r="I45" i="84" s="1"/>
  <c r="I47" i="41"/>
  <c r="I46" i="84" s="1"/>
  <c r="I48" i="41"/>
  <c r="I47" i="84" s="1"/>
  <c r="I49" i="41"/>
  <c r="I48" i="84" s="1"/>
  <c r="I50" i="41"/>
  <c r="I49" i="84" s="1"/>
  <c r="I51" i="41"/>
  <c r="I50" i="84" s="1"/>
  <c r="I52" i="41"/>
  <c r="I51" i="84" s="1"/>
  <c r="I53" i="41"/>
  <c r="I52" i="84" s="1"/>
  <c r="I54" i="41"/>
  <c r="I53" i="84" s="1"/>
  <c r="I55" i="41"/>
  <c r="I54" i="84" s="1"/>
  <c r="I56" i="41"/>
  <c r="I55" i="84" s="1"/>
  <c r="I57" i="41"/>
  <c r="I56" i="84" s="1"/>
  <c r="I58" i="41"/>
  <c r="I57" i="84" s="1"/>
  <c r="I59" i="41"/>
  <c r="I58" i="84" s="1"/>
  <c r="I60" i="41"/>
  <c r="I59" i="84" s="1"/>
  <c r="I61" i="41"/>
  <c r="I60" i="84" s="1"/>
  <c r="I62" i="41"/>
  <c r="I61" i="84" s="1"/>
  <c r="I63" i="41"/>
  <c r="I62" i="84" s="1"/>
  <c r="I64" i="41"/>
  <c r="I63" i="84" s="1"/>
  <c r="I65" i="41"/>
  <c r="I64" i="84" s="1"/>
  <c r="I66" i="41"/>
  <c r="I65" i="84" s="1"/>
  <c r="I67" i="41"/>
  <c r="I66" i="84" s="1"/>
  <c r="I68" i="41"/>
  <c r="I67" i="84" s="1"/>
  <c r="I69" i="41"/>
  <c r="I68" i="84" s="1"/>
  <c r="I70" i="41"/>
  <c r="I69" i="84" s="1"/>
  <c r="I71" i="41"/>
  <c r="I70" i="84" s="1"/>
  <c r="I72" i="41"/>
  <c r="I71" i="84" s="1"/>
  <c r="I73" i="41"/>
  <c r="I72" i="84" s="1"/>
  <c r="I74" i="41"/>
  <c r="I73" i="84" s="1"/>
  <c r="I75" i="41"/>
  <c r="I74" i="84" s="1"/>
  <c r="I76" i="41"/>
  <c r="I75" i="84" s="1"/>
  <c r="I77" i="41"/>
  <c r="I76" i="84" s="1"/>
  <c r="H24" i="41"/>
  <c r="H23" i="84" s="1"/>
  <c r="H25" i="41"/>
  <c r="H24" i="84" s="1"/>
  <c r="H26" i="41"/>
  <c r="H25" i="84" s="1"/>
  <c r="H27" i="41"/>
  <c r="H26" i="84" s="1"/>
  <c r="H28" i="41"/>
  <c r="H27" i="84" s="1"/>
  <c r="H29" i="41"/>
  <c r="H28" i="84" s="1"/>
  <c r="H30" i="41"/>
  <c r="H29" i="84" s="1"/>
  <c r="H31" i="41"/>
  <c r="H30" i="84" s="1"/>
  <c r="H32" i="41"/>
  <c r="H31" i="84" s="1"/>
  <c r="H33" i="41"/>
  <c r="H32" i="84" s="1"/>
  <c r="H34" i="41"/>
  <c r="H33" i="84" s="1"/>
  <c r="H35" i="41"/>
  <c r="H34" i="84" s="1"/>
  <c r="H36" i="41"/>
  <c r="H35" i="84" s="1"/>
  <c r="H37" i="41"/>
  <c r="H36" i="84" s="1"/>
  <c r="H38" i="41"/>
  <c r="H37" i="84" s="1"/>
  <c r="H39" i="41"/>
  <c r="H38" i="84" s="1"/>
  <c r="H40" i="41"/>
  <c r="H39" i="84" s="1"/>
  <c r="H41" i="41"/>
  <c r="H40" i="84" s="1"/>
  <c r="H42" i="41"/>
  <c r="H41" i="84" s="1"/>
  <c r="H43" i="41"/>
  <c r="H42" i="84" s="1"/>
  <c r="H44" i="41"/>
  <c r="H43" i="84" s="1"/>
  <c r="H45" i="41"/>
  <c r="H44" i="84" s="1"/>
  <c r="H46" i="41"/>
  <c r="H45" i="84" s="1"/>
  <c r="H47" i="41"/>
  <c r="H46" i="84" s="1"/>
  <c r="H48" i="41"/>
  <c r="H47" i="84" s="1"/>
  <c r="H49" i="41"/>
  <c r="H48" i="84" s="1"/>
  <c r="H50" i="41"/>
  <c r="H49" i="84" s="1"/>
  <c r="H51" i="41"/>
  <c r="H50" i="84" s="1"/>
  <c r="H52" i="41"/>
  <c r="H51" i="84" s="1"/>
  <c r="H53" i="41"/>
  <c r="H52" i="84" s="1"/>
  <c r="H54" i="41"/>
  <c r="H53" i="84" s="1"/>
  <c r="H55" i="41"/>
  <c r="H54" i="84" s="1"/>
  <c r="H56" i="41"/>
  <c r="H55" i="84" s="1"/>
  <c r="H57" i="41"/>
  <c r="H56" i="84" s="1"/>
  <c r="H58" i="41"/>
  <c r="H57" i="84" s="1"/>
  <c r="H59" i="41"/>
  <c r="H58" i="84" s="1"/>
  <c r="H60" i="41"/>
  <c r="H59" i="84" s="1"/>
  <c r="H61" i="41"/>
  <c r="H60" i="84" s="1"/>
  <c r="H62" i="41"/>
  <c r="H61" i="84" s="1"/>
  <c r="H63" i="41"/>
  <c r="H62" i="84" s="1"/>
  <c r="H64" i="41"/>
  <c r="H63" i="84" s="1"/>
  <c r="H65" i="41"/>
  <c r="H64" i="84" s="1"/>
  <c r="H66" i="41"/>
  <c r="H65" i="84" s="1"/>
  <c r="H67" i="41"/>
  <c r="H66" i="84" s="1"/>
  <c r="H68" i="41"/>
  <c r="H67" i="84" s="1"/>
  <c r="H69" i="41"/>
  <c r="H68" i="84" s="1"/>
  <c r="H70" i="41"/>
  <c r="H69" i="84" s="1"/>
  <c r="H71" i="41"/>
  <c r="H70" i="84" s="1"/>
  <c r="H72" i="41"/>
  <c r="H71" i="84" s="1"/>
  <c r="H73" i="41"/>
  <c r="H72" i="84" s="1"/>
  <c r="H74" i="41"/>
  <c r="H73" i="84" s="1"/>
  <c r="H75" i="41"/>
  <c r="H74" i="84" s="1"/>
  <c r="H76" i="41"/>
  <c r="H75" i="84" s="1"/>
  <c r="H77" i="41"/>
  <c r="H76" i="84" s="1"/>
  <c r="G25" i="41"/>
  <c r="G26" i="41"/>
  <c r="G27" i="41"/>
  <c r="G28" i="41"/>
  <c r="G29" i="41"/>
  <c r="G30" i="41"/>
  <c r="G32" i="41"/>
  <c r="G33" i="41"/>
  <c r="G34" i="41"/>
  <c r="G33" i="84" s="1"/>
  <c r="G35" i="41"/>
  <c r="G34" i="84" s="1"/>
  <c r="G36" i="41"/>
  <c r="G35" i="84" s="1"/>
  <c r="G37" i="41"/>
  <c r="G36" i="84" s="1"/>
  <c r="G38" i="41"/>
  <c r="G37" i="84" s="1"/>
  <c r="G39" i="41"/>
  <c r="G38" i="84" s="1"/>
  <c r="G40" i="41"/>
  <c r="G39" i="84" s="1"/>
  <c r="G41" i="41"/>
  <c r="G40" i="84" s="1"/>
  <c r="G42" i="41"/>
  <c r="G41" i="84" s="1"/>
  <c r="G43" i="41"/>
  <c r="G42" i="84" s="1"/>
  <c r="G44" i="41"/>
  <c r="G43" i="84" s="1"/>
  <c r="G45" i="41"/>
  <c r="G44" i="84" s="1"/>
  <c r="G46" i="41"/>
  <c r="G45" i="84" s="1"/>
  <c r="G47" i="41"/>
  <c r="G46" i="84" s="1"/>
  <c r="G48" i="41"/>
  <c r="G47" i="84" s="1"/>
  <c r="G49" i="41"/>
  <c r="G48" i="84" s="1"/>
  <c r="G50" i="41"/>
  <c r="G49" i="84" s="1"/>
  <c r="G51" i="41"/>
  <c r="G50" i="84" s="1"/>
  <c r="G52" i="41"/>
  <c r="G51" i="84" s="1"/>
  <c r="G53" i="41"/>
  <c r="G52" i="84" s="1"/>
  <c r="G54" i="41"/>
  <c r="G53" i="84" s="1"/>
  <c r="G55" i="41"/>
  <c r="G54" i="84" s="1"/>
  <c r="G56" i="41"/>
  <c r="G55" i="84" s="1"/>
  <c r="G57" i="41"/>
  <c r="G56" i="84" s="1"/>
  <c r="G58" i="41"/>
  <c r="G57" i="84" s="1"/>
  <c r="G59" i="41"/>
  <c r="G58" i="84" s="1"/>
  <c r="G60" i="41"/>
  <c r="G59" i="84" s="1"/>
  <c r="G61" i="41"/>
  <c r="G60" i="84" s="1"/>
  <c r="G62" i="41"/>
  <c r="G61" i="84" s="1"/>
  <c r="G63" i="41"/>
  <c r="G62" i="84" s="1"/>
  <c r="G64" i="41"/>
  <c r="G63" i="84" s="1"/>
  <c r="G65" i="41"/>
  <c r="G64" i="84" s="1"/>
  <c r="G66" i="41"/>
  <c r="G65" i="84" s="1"/>
  <c r="G67" i="41"/>
  <c r="G66" i="84" s="1"/>
  <c r="G68" i="41"/>
  <c r="G67" i="84" s="1"/>
  <c r="G69" i="41"/>
  <c r="G68" i="84" s="1"/>
  <c r="G70" i="41"/>
  <c r="G69" i="84" s="1"/>
  <c r="G71" i="41"/>
  <c r="G70" i="84" s="1"/>
  <c r="G72" i="41"/>
  <c r="G71" i="84" s="1"/>
  <c r="G73" i="41"/>
  <c r="G72" i="84" s="1"/>
  <c r="G74" i="41"/>
  <c r="G73" i="84" s="1"/>
  <c r="G75" i="41"/>
  <c r="G74" i="84" s="1"/>
  <c r="G76" i="41"/>
  <c r="G75" i="84" s="1"/>
  <c r="G77" i="41"/>
  <c r="E10" i="39"/>
  <c r="D10" i="39"/>
  <c r="E10" i="82"/>
  <c r="D10" i="82"/>
  <c r="D10" i="71"/>
  <c r="C10" i="71"/>
  <c r="E10" i="40"/>
  <c r="D10" i="40"/>
  <c r="L44" i="78" l="1"/>
  <c r="L36" i="78"/>
  <c r="L28" i="78"/>
  <c r="L12" i="78"/>
  <c r="G32" i="84"/>
  <c r="M33" i="41"/>
  <c r="M32" i="84" s="1"/>
  <c r="G31" i="84"/>
  <c r="M32" i="41"/>
  <c r="M31" i="84" s="1"/>
  <c r="L53" i="78"/>
  <c r="L45" i="78"/>
  <c r="L29" i="78"/>
  <c r="L21" i="78"/>
  <c r="G29" i="84"/>
  <c r="M30" i="41"/>
  <c r="M29" i="84" s="1"/>
  <c r="G28" i="84"/>
  <c r="M29" i="41"/>
  <c r="M28" i="84" s="1"/>
  <c r="G27" i="84"/>
  <c r="M28" i="41"/>
  <c r="M27" i="84" s="1"/>
  <c r="G26" i="84"/>
  <c r="M27" i="41"/>
  <c r="M26" i="84" s="1"/>
  <c r="G25" i="84"/>
  <c r="M26" i="41"/>
  <c r="M25" i="84" s="1"/>
  <c r="L59" i="78"/>
  <c r="L51" i="78"/>
  <c r="L35" i="78"/>
  <c r="L27" i="78"/>
  <c r="L19" i="78"/>
  <c r="L11" i="78"/>
  <c r="L57" i="78"/>
  <c r="L49" i="78"/>
  <c r="L41" i="78"/>
  <c r="L33" i="78"/>
  <c r="L25" i="78"/>
  <c r="L17" i="78"/>
  <c r="L9" i="78"/>
  <c r="L55" i="78"/>
  <c r="L47" i="78"/>
  <c r="L39" i="78"/>
  <c r="L31" i="78"/>
  <c r="L15" i="78"/>
  <c r="L7" i="78"/>
  <c r="L58" i="78"/>
  <c r="L50" i="78"/>
  <c r="L42" i="78"/>
  <c r="L34" i="78"/>
  <c r="L26" i="78"/>
  <c r="L18" i="78"/>
  <c r="L10" i="78"/>
  <c r="L56" i="78"/>
  <c r="L40" i="78"/>
  <c r="L32" i="78"/>
  <c r="L24" i="78"/>
  <c r="L16" i="78"/>
  <c r="L8" i="78"/>
  <c r="L46" i="78"/>
  <c r="L38" i="78"/>
  <c r="L30" i="78"/>
  <c r="L22" i="78"/>
  <c r="L14" i="78"/>
  <c r="S10" i="82"/>
  <c r="J10" i="71"/>
  <c r="X10" i="39"/>
  <c r="W10" i="39" s="1"/>
  <c r="L23" i="78"/>
  <c r="L48" i="78"/>
  <c r="L43" i="78"/>
  <c r="L37" i="78"/>
  <c r="M58" i="78"/>
  <c r="M56" i="78"/>
  <c r="M54" i="78"/>
  <c r="M52" i="78"/>
  <c r="M50" i="78"/>
  <c r="M48" i="78"/>
  <c r="M44" i="78"/>
  <c r="M42" i="78"/>
  <c r="M40" i="78"/>
  <c r="M38" i="78"/>
  <c r="M36" i="78"/>
  <c r="M34" i="78"/>
  <c r="M32" i="78"/>
  <c r="M30" i="78"/>
  <c r="M28" i="78"/>
  <c r="M26" i="78"/>
  <c r="M24" i="78"/>
  <c r="M22" i="78"/>
  <c r="M20" i="78"/>
  <c r="M18" i="78"/>
  <c r="M16" i="78"/>
  <c r="M12" i="78"/>
  <c r="M10" i="78"/>
  <c r="M8" i="78"/>
  <c r="M46" i="78"/>
  <c r="M57" i="78"/>
  <c r="M55" i="78"/>
  <c r="M53" i="78"/>
  <c r="M51" i="78"/>
  <c r="M49" i="78"/>
  <c r="M45" i="78"/>
  <c r="M43" i="78"/>
  <c r="M41" i="78"/>
  <c r="M39" i="78"/>
  <c r="M37" i="78"/>
  <c r="M35" i="78"/>
  <c r="M33" i="78"/>
  <c r="M31" i="78"/>
  <c r="M29" i="78"/>
  <c r="M27" i="78"/>
  <c r="M25" i="78"/>
  <c r="M23" i="78"/>
  <c r="M21" i="78"/>
  <c r="M19" i="78"/>
  <c r="M17" i="78"/>
  <c r="M15" i="78"/>
  <c r="M11" i="78"/>
  <c r="M9" i="78"/>
  <c r="M7" i="78"/>
  <c r="M47" i="78"/>
  <c r="M14" i="78"/>
  <c r="L20" i="78"/>
  <c r="L52" i="78"/>
  <c r="M59" i="78"/>
  <c r="G76" i="84"/>
  <c r="M77" i="41"/>
  <c r="G24" i="84"/>
  <c r="M25" i="41"/>
  <c r="M24" i="84" s="1"/>
  <c r="L54" i="78"/>
  <c r="K78" i="41"/>
  <c r="Q10" i="40"/>
  <c r="F29" i="55" s="1"/>
  <c r="M75" i="84"/>
  <c r="M73" i="84"/>
  <c r="M71" i="84"/>
  <c r="M69" i="84"/>
  <c r="M67" i="84"/>
  <c r="M65" i="84"/>
  <c r="M63" i="84"/>
  <c r="M61" i="84"/>
  <c r="M59" i="84"/>
  <c r="M57" i="84"/>
  <c r="M55" i="84"/>
  <c r="M53" i="84"/>
  <c r="M51" i="84"/>
  <c r="M49" i="84"/>
  <c r="M47" i="84"/>
  <c r="M45" i="84"/>
  <c r="M43" i="84"/>
  <c r="M41" i="84"/>
  <c r="M39" i="84"/>
  <c r="M37" i="84"/>
  <c r="M35" i="84"/>
  <c r="M33" i="84"/>
  <c r="M74" i="84"/>
  <c r="M72" i="84"/>
  <c r="M70" i="84"/>
  <c r="M68" i="84"/>
  <c r="M66" i="84"/>
  <c r="M64" i="84"/>
  <c r="M62" i="84"/>
  <c r="M60" i="84"/>
  <c r="M58" i="84"/>
  <c r="M56" i="84"/>
  <c r="M54" i="84"/>
  <c r="M52" i="84"/>
  <c r="M50" i="84"/>
  <c r="M48" i="84"/>
  <c r="M46" i="84"/>
  <c r="M44" i="84"/>
  <c r="M42" i="84"/>
  <c r="M40" i="84"/>
  <c r="M38" i="84"/>
  <c r="M36" i="84"/>
  <c r="M34" i="84"/>
  <c r="H66" i="78"/>
  <c r="H67" i="78"/>
  <c r="H68" i="78"/>
  <c r="H69" i="78"/>
  <c r="H70" i="78"/>
  <c r="H71" i="78"/>
  <c r="H72" i="78"/>
  <c r="H73" i="78"/>
  <c r="H74" i="78"/>
  <c r="H75" i="78"/>
  <c r="H76" i="78"/>
  <c r="H77" i="78"/>
  <c r="H78" i="78"/>
  <c r="H79" i="78"/>
  <c r="H80" i="78"/>
  <c r="H81" i="78"/>
  <c r="H82" i="78"/>
  <c r="H83" i="78"/>
  <c r="H84" i="78"/>
  <c r="H85" i="78"/>
  <c r="H86" i="78"/>
  <c r="H87" i="78"/>
  <c r="H88" i="78"/>
  <c r="H89" i="78"/>
  <c r="H90" i="78"/>
  <c r="H91" i="78"/>
  <c r="H92" i="78"/>
  <c r="H93" i="78"/>
  <c r="H94" i="78"/>
  <c r="H95" i="78"/>
  <c r="H96" i="78"/>
  <c r="H97" i="78"/>
  <c r="H98" i="78"/>
  <c r="H99" i="78"/>
  <c r="H100" i="78"/>
  <c r="H101" i="78"/>
  <c r="H102" i="78"/>
  <c r="H103" i="78"/>
  <c r="H104" i="78"/>
  <c r="H105" i="78"/>
  <c r="H106" i="78"/>
  <c r="H107" i="78"/>
  <c r="H108" i="78"/>
  <c r="H109" i="78"/>
  <c r="H110" i="78"/>
  <c r="H111" i="78"/>
  <c r="H112" i="78"/>
  <c r="H113" i="78"/>
  <c r="H114" i="78"/>
  <c r="H115" i="78"/>
  <c r="H116" i="78"/>
  <c r="H117" i="78"/>
  <c r="H118" i="78"/>
  <c r="H119" i="78"/>
  <c r="H65" i="78"/>
  <c r="E66" i="78"/>
  <c r="E67" i="78"/>
  <c r="E68" i="78"/>
  <c r="E69" i="78"/>
  <c r="E70" i="78"/>
  <c r="E71" i="78"/>
  <c r="E72" i="78"/>
  <c r="E73" i="78"/>
  <c r="E74" i="78"/>
  <c r="E75" i="78"/>
  <c r="E76" i="78"/>
  <c r="E77" i="78"/>
  <c r="E78" i="78"/>
  <c r="E79" i="78"/>
  <c r="E80" i="78"/>
  <c r="E81" i="78"/>
  <c r="E82" i="78"/>
  <c r="E83" i="78"/>
  <c r="E84" i="78"/>
  <c r="E85" i="78"/>
  <c r="E86" i="78"/>
  <c r="E87" i="78"/>
  <c r="E88" i="78"/>
  <c r="E89" i="78"/>
  <c r="E90" i="78"/>
  <c r="E91" i="78"/>
  <c r="E92" i="78"/>
  <c r="E93" i="78"/>
  <c r="E94" i="78"/>
  <c r="E95" i="78"/>
  <c r="E96" i="78"/>
  <c r="E97" i="78"/>
  <c r="E98" i="78"/>
  <c r="E99" i="78"/>
  <c r="E100" i="78"/>
  <c r="E101" i="78"/>
  <c r="E102" i="78"/>
  <c r="E103" i="78"/>
  <c r="E104" i="78"/>
  <c r="E105" i="78"/>
  <c r="E106" i="78"/>
  <c r="E107" i="78"/>
  <c r="E108" i="78"/>
  <c r="E109" i="78"/>
  <c r="E110" i="78"/>
  <c r="E111" i="78"/>
  <c r="E112" i="78"/>
  <c r="E113" i="78"/>
  <c r="E114" i="78"/>
  <c r="E115" i="78"/>
  <c r="E116" i="78"/>
  <c r="E117" i="78"/>
  <c r="E118" i="78"/>
  <c r="E119" i="78"/>
  <c r="E65" i="78"/>
  <c r="G66" i="78"/>
  <c r="J66" i="78" s="1"/>
  <c r="G67" i="78"/>
  <c r="J67" i="78" s="1"/>
  <c r="G68" i="78"/>
  <c r="J68" i="78" s="1"/>
  <c r="G69" i="78"/>
  <c r="J69" i="78" s="1"/>
  <c r="G70" i="78"/>
  <c r="J70" i="78" s="1"/>
  <c r="G71" i="78"/>
  <c r="J71" i="78" s="1"/>
  <c r="G72" i="78"/>
  <c r="J72" i="78" s="1"/>
  <c r="G73" i="78"/>
  <c r="J73" i="78" s="1"/>
  <c r="G74" i="78"/>
  <c r="J74" i="78" s="1"/>
  <c r="G75" i="78"/>
  <c r="J75" i="78" s="1"/>
  <c r="G76" i="78"/>
  <c r="J76" i="78" s="1"/>
  <c r="G77" i="78"/>
  <c r="J77" i="78" s="1"/>
  <c r="G78" i="78"/>
  <c r="J78" i="78" s="1"/>
  <c r="G79" i="78"/>
  <c r="J79" i="78" s="1"/>
  <c r="G80" i="78"/>
  <c r="J80" i="78" s="1"/>
  <c r="G81" i="78"/>
  <c r="J81" i="78" s="1"/>
  <c r="G82" i="78"/>
  <c r="J82" i="78" s="1"/>
  <c r="G83" i="78"/>
  <c r="J83" i="78" s="1"/>
  <c r="G84" i="78"/>
  <c r="J84" i="78" s="1"/>
  <c r="G85" i="78"/>
  <c r="J85" i="78" s="1"/>
  <c r="G86" i="78"/>
  <c r="J86" i="78" s="1"/>
  <c r="G87" i="78"/>
  <c r="J87" i="78" s="1"/>
  <c r="G88" i="78"/>
  <c r="J88" i="78" s="1"/>
  <c r="G89" i="78"/>
  <c r="J89" i="78" s="1"/>
  <c r="G90" i="78"/>
  <c r="J90" i="78" s="1"/>
  <c r="G91" i="78"/>
  <c r="J91" i="78" s="1"/>
  <c r="G92" i="78"/>
  <c r="J92" i="78" s="1"/>
  <c r="G93" i="78"/>
  <c r="J93" i="78" s="1"/>
  <c r="G94" i="78"/>
  <c r="J94" i="78" s="1"/>
  <c r="G95" i="78"/>
  <c r="J95" i="78" s="1"/>
  <c r="G96" i="78"/>
  <c r="J96" i="78" s="1"/>
  <c r="G97" i="78"/>
  <c r="J97" i="78" s="1"/>
  <c r="G98" i="78"/>
  <c r="J98" i="78" s="1"/>
  <c r="G99" i="78"/>
  <c r="J99" i="78" s="1"/>
  <c r="G100" i="78"/>
  <c r="J100" i="78" s="1"/>
  <c r="G101" i="78"/>
  <c r="J101" i="78" s="1"/>
  <c r="G102" i="78"/>
  <c r="J102" i="78" s="1"/>
  <c r="G103" i="78"/>
  <c r="J103" i="78" s="1"/>
  <c r="G104" i="78"/>
  <c r="J104" i="78" s="1"/>
  <c r="G105" i="78"/>
  <c r="J105" i="78" s="1"/>
  <c r="G106" i="78"/>
  <c r="J106" i="78" s="1"/>
  <c r="G107" i="78"/>
  <c r="J107" i="78" s="1"/>
  <c r="G108" i="78"/>
  <c r="J108" i="78" s="1"/>
  <c r="G109" i="78"/>
  <c r="J109" i="78" s="1"/>
  <c r="G110" i="78"/>
  <c r="J110" i="78" s="1"/>
  <c r="G111" i="78"/>
  <c r="J111" i="78" s="1"/>
  <c r="G112" i="78"/>
  <c r="J112" i="78" s="1"/>
  <c r="G113" i="78"/>
  <c r="J113" i="78" s="1"/>
  <c r="G114" i="78"/>
  <c r="J114" i="78" s="1"/>
  <c r="G115" i="78"/>
  <c r="J115" i="78" s="1"/>
  <c r="G116" i="78"/>
  <c r="J116" i="78" s="1"/>
  <c r="G117" i="78"/>
  <c r="J117" i="78" s="1"/>
  <c r="G118" i="78"/>
  <c r="J118" i="78" s="1"/>
  <c r="G119" i="78"/>
  <c r="J119" i="78" s="1"/>
  <c r="G65" i="78"/>
  <c r="D65" i="78"/>
  <c r="R10" i="82" l="1"/>
  <c r="I22" i="55"/>
  <c r="J24" i="41"/>
  <c r="M6" i="55"/>
  <c r="E13" i="78"/>
  <c r="F13" i="78"/>
  <c r="G13" i="78"/>
  <c r="V10" i="39"/>
  <c r="G6" i="78"/>
  <c r="M6" i="78" s="1"/>
  <c r="K119" i="78"/>
  <c r="K117" i="78"/>
  <c r="K115" i="78"/>
  <c r="K113" i="78"/>
  <c r="K111" i="78"/>
  <c r="K109" i="78"/>
  <c r="K107" i="78"/>
  <c r="K105" i="78"/>
  <c r="K103" i="78"/>
  <c r="K101" i="78"/>
  <c r="K99" i="78"/>
  <c r="K97" i="78"/>
  <c r="K95" i="78"/>
  <c r="K93" i="78"/>
  <c r="K91" i="78"/>
  <c r="K89" i="78"/>
  <c r="K87" i="78"/>
  <c r="K85" i="78"/>
  <c r="K83" i="78"/>
  <c r="K81" i="78"/>
  <c r="K79" i="78"/>
  <c r="K77" i="78"/>
  <c r="K75" i="78"/>
  <c r="K73" i="78"/>
  <c r="K71" i="78"/>
  <c r="K69" i="78"/>
  <c r="K67" i="78"/>
  <c r="K118" i="78"/>
  <c r="K116" i="78"/>
  <c r="K114" i="78"/>
  <c r="K112" i="78"/>
  <c r="K110" i="78"/>
  <c r="K108" i="78"/>
  <c r="K106" i="78"/>
  <c r="K104" i="78"/>
  <c r="K102" i="78"/>
  <c r="K100" i="78"/>
  <c r="K98" i="78"/>
  <c r="K96" i="78"/>
  <c r="K94" i="78"/>
  <c r="K92" i="78"/>
  <c r="K90" i="78"/>
  <c r="K88" i="78"/>
  <c r="K86" i="78"/>
  <c r="K84" i="78"/>
  <c r="K82" i="78"/>
  <c r="K80" i="78"/>
  <c r="K78" i="78"/>
  <c r="K76" i="78"/>
  <c r="K74" i="78"/>
  <c r="K72" i="78"/>
  <c r="K70" i="78"/>
  <c r="K68" i="78"/>
  <c r="K66" i="78"/>
  <c r="H120" i="78"/>
  <c r="G120" i="78"/>
  <c r="E120" i="78"/>
  <c r="M76" i="84"/>
  <c r="O10" i="40"/>
  <c r="P10" i="40" s="1"/>
  <c r="I21" i="55" s="1"/>
  <c r="D120" i="78"/>
  <c r="J23" i="84" l="1"/>
  <c r="J78" i="41"/>
  <c r="G31" i="41"/>
  <c r="G30" i="84" s="1"/>
  <c r="O29" i="55"/>
  <c r="U29" i="55" s="1"/>
  <c r="D13" i="78"/>
  <c r="L13" i="78" s="1"/>
  <c r="M13" i="78"/>
  <c r="G24" i="41"/>
  <c r="G23" i="84" s="1"/>
  <c r="F6" i="78"/>
  <c r="L6" i="78" s="1"/>
  <c r="R22" i="55"/>
  <c r="U22" i="55" s="1"/>
  <c r="R21" i="55"/>
  <c r="O21" i="55"/>
  <c r="F21" i="55"/>
  <c r="I66" i="78"/>
  <c r="I67" i="78"/>
  <c r="I68" i="78"/>
  <c r="I69" i="78"/>
  <c r="I70" i="78"/>
  <c r="I71" i="78"/>
  <c r="I72" i="78"/>
  <c r="I73" i="78"/>
  <c r="I74" i="78"/>
  <c r="I75" i="78"/>
  <c r="I76" i="78"/>
  <c r="I77" i="78"/>
  <c r="I78" i="78"/>
  <c r="I79" i="78"/>
  <c r="I80" i="78"/>
  <c r="I81" i="78"/>
  <c r="I82" i="78"/>
  <c r="I83" i="78"/>
  <c r="I84" i="78"/>
  <c r="I85" i="78"/>
  <c r="I86" i="78"/>
  <c r="I87" i="78"/>
  <c r="I88" i="78"/>
  <c r="I89" i="78"/>
  <c r="I90" i="78"/>
  <c r="I91" i="78"/>
  <c r="I92" i="78"/>
  <c r="I93" i="78"/>
  <c r="I94" i="78"/>
  <c r="I95" i="78"/>
  <c r="I96" i="78"/>
  <c r="I97" i="78"/>
  <c r="I98" i="78"/>
  <c r="I99" i="78"/>
  <c r="I100" i="78"/>
  <c r="I101" i="78"/>
  <c r="I102" i="78"/>
  <c r="I103" i="78"/>
  <c r="I104" i="78"/>
  <c r="I105" i="78"/>
  <c r="I106" i="78"/>
  <c r="I107" i="78"/>
  <c r="I108" i="78"/>
  <c r="I109" i="78"/>
  <c r="I110" i="78"/>
  <c r="I111" i="78"/>
  <c r="I112" i="78"/>
  <c r="I113" i="78"/>
  <c r="I114" i="78"/>
  <c r="I115" i="78"/>
  <c r="I116" i="78"/>
  <c r="I117" i="78"/>
  <c r="I118" i="78"/>
  <c r="I119"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M31" i="41" l="1"/>
  <c r="M30" i="84" s="1"/>
  <c r="M24" i="41"/>
  <c r="M23" i="84" s="1"/>
  <c r="L85" i="78"/>
  <c r="M85" i="78" s="1"/>
  <c r="L101" i="78"/>
  <c r="M101" i="78" s="1"/>
  <c r="L109" i="78"/>
  <c r="M109" i="78" s="1"/>
  <c r="L93" i="78"/>
  <c r="M93" i="78" s="1"/>
  <c r="L119" i="78"/>
  <c r="M119" i="78" s="1"/>
  <c r="L111" i="78"/>
  <c r="M111" i="78" s="1"/>
  <c r="L103" i="78"/>
  <c r="M103" i="78" s="1"/>
  <c r="L95" i="78"/>
  <c r="M95" i="78" s="1"/>
  <c r="L87" i="78"/>
  <c r="M87" i="78" s="1"/>
  <c r="L79" i="78"/>
  <c r="M79" i="78" s="1"/>
  <c r="L71" i="78"/>
  <c r="M71" i="78" s="1"/>
  <c r="L114" i="78"/>
  <c r="M114" i="78" s="1"/>
  <c r="L98" i="78"/>
  <c r="M98" i="78" s="1"/>
  <c r="L90" i="78"/>
  <c r="M90" i="78" s="1"/>
  <c r="L82" i="78"/>
  <c r="M82" i="78" s="1"/>
  <c r="L74" i="78"/>
  <c r="M74" i="78" s="1"/>
  <c r="L66" i="78"/>
  <c r="M66" i="78" s="1"/>
  <c r="L106" i="78"/>
  <c r="M106" i="78" s="1"/>
  <c r="L112" i="78"/>
  <c r="M112" i="78" s="1"/>
  <c r="L96" i="78"/>
  <c r="M96" i="78" s="1"/>
  <c r="L88" i="78"/>
  <c r="M88" i="78" s="1"/>
  <c r="L80" i="78"/>
  <c r="M80" i="78" s="1"/>
  <c r="L72" i="78"/>
  <c r="M72" i="78" s="1"/>
  <c r="L104" i="78"/>
  <c r="M104" i="78" s="1"/>
  <c r="L116" i="78"/>
  <c r="M116" i="78" s="1"/>
  <c r="L108" i="78"/>
  <c r="M108" i="78" s="1"/>
  <c r="L100" i="78"/>
  <c r="M100" i="78" s="1"/>
  <c r="L92" i="78"/>
  <c r="M92" i="78" s="1"/>
  <c r="L84" i="78"/>
  <c r="M84" i="78" s="1"/>
  <c r="L76" i="78"/>
  <c r="M76" i="78" s="1"/>
  <c r="L68" i="78"/>
  <c r="M68" i="78" s="1"/>
  <c r="L117" i="78"/>
  <c r="M117" i="78" s="1"/>
  <c r="L99" i="78"/>
  <c r="M99" i="78" s="1"/>
  <c r="L91" i="78"/>
  <c r="M91" i="78" s="1"/>
  <c r="L83" i="78"/>
  <c r="M83" i="78" s="1"/>
  <c r="L75" i="78"/>
  <c r="M75" i="78" s="1"/>
  <c r="L67" i="78"/>
  <c r="M67" i="78" s="1"/>
  <c r="L113" i="78"/>
  <c r="M113" i="78" s="1"/>
  <c r="L105" i="78"/>
  <c r="M105" i="78" s="1"/>
  <c r="L97" i="78"/>
  <c r="M97" i="78" s="1"/>
  <c r="L89" i="78"/>
  <c r="M89" i="78" s="1"/>
  <c r="L81" i="78"/>
  <c r="M81" i="78" s="1"/>
  <c r="L73" i="78"/>
  <c r="M73" i="78" s="1"/>
  <c r="L115" i="78"/>
  <c r="M115" i="78" s="1"/>
  <c r="L107" i="78"/>
  <c r="M107" i="78" s="1"/>
  <c r="L118" i="78"/>
  <c r="M118" i="78" s="1"/>
  <c r="L110" i="78"/>
  <c r="M110" i="78" s="1"/>
  <c r="L102" i="78"/>
  <c r="M102" i="78" s="1"/>
  <c r="L94" i="78"/>
  <c r="M94" i="78" s="1"/>
  <c r="L86" i="78"/>
  <c r="M86" i="78" s="1"/>
  <c r="L78" i="78"/>
  <c r="M78" i="78" s="1"/>
  <c r="L70" i="78"/>
  <c r="M70" i="78" s="1"/>
  <c r="L77" i="78"/>
  <c r="M77" i="78" s="1"/>
  <c r="U21" i="55"/>
  <c r="U76" i="55" s="1"/>
  <c r="L69" i="78"/>
  <c r="M69" i="78" s="1"/>
  <c r="I65" i="78"/>
  <c r="I120" i="78" s="1"/>
  <c r="K65" i="78"/>
  <c r="K120" i="78" s="1"/>
  <c r="J65" i="78"/>
  <c r="K5" i="78"/>
  <c r="K60" i="78" s="1"/>
  <c r="J5" i="78"/>
  <c r="J60" i="78" s="1"/>
  <c r="I5" i="78"/>
  <c r="I60" i="78" s="1"/>
  <c r="H5" i="78"/>
  <c r="H60" i="78" s="1"/>
  <c r="G5" i="78"/>
  <c r="G60" i="78" s="1"/>
  <c r="F5" i="78"/>
  <c r="F60" i="78" s="1"/>
  <c r="J120" i="78" l="1"/>
  <c r="D13" i="84"/>
  <c r="D14" i="84"/>
  <c r="D15" i="84"/>
  <c r="D16" i="84"/>
  <c r="D17" i="84"/>
  <c r="D18" i="41" l="1"/>
  <c r="D18" i="84" l="1"/>
  <c r="L15" i="84" s="1"/>
  <c r="G81" i="84"/>
  <c r="D9" i="84"/>
  <c r="L11" i="84" l="1"/>
  <c r="L12" i="84" s="1"/>
  <c r="F24" i="41"/>
  <c r="F23" i="84" s="1"/>
  <c r="F25" i="41"/>
  <c r="F24" i="84" s="1"/>
  <c r="F26" i="41"/>
  <c r="F25" i="84" s="1"/>
  <c r="F27" i="41"/>
  <c r="F26" i="84" s="1"/>
  <c r="F28" i="41"/>
  <c r="F27" i="84" s="1"/>
  <c r="F29" i="41"/>
  <c r="F28" i="84" s="1"/>
  <c r="F30" i="41"/>
  <c r="F29" i="84" s="1"/>
  <c r="F31" i="41"/>
  <c r="F30" i="84" s="1"/>
  <c r="F32" i="41"/>
  <c r="F31" i="84" s="1"/>
  <c r="F33" i="41"/>
  <c r="F32" i="84" s="1"/>
  <c r="F34" i="41"/>
  <c r="F33" i="84" s="1"/>
  <c r="F35" i="41"/>
  <c r="F34" i="84" s="1"/>
  <c r="F36" i="41"/>
  <c r="F35" i="84" s="1"/>
  <c r="F37" i="41"/>
  <c r="F36" i="84" s="1"/>
  <c r="F38" i="41"/>
  <c r="F37" i="84" s="1"/>
  <c r="F39" i="41"/>
  <c r="F38" i="84" s="1"/>
  <c r="F40" i="41"/>
  <c r="F39" i="84" s="1"/>
  <c r="F41" i="41"/>
  <c r="F40" i="84" s="1"/>
  <c r="F42" i="41"/>
  <c r="F41" i="84" s="1"/>
  <c r="F43" i="41"/>
  <c r="F42" i="84" s="1"/>
  <c r="F44" i="41"/>
  <c r="F43" i="84" s="1"/>
  <c r="F45" i="41"/>
  <c r="F44" i="84" s="1"/>
  <c r="F46" i="41"/>
  <c r="F45" i="84" s="1"/>
  <c r="F47" i="41"/>
  <c r="F46" i="84" s="1"/>
  <c r="F48" i="41"/>
  <c r="F47" i="84" s="1"/>
  <c r="F49" i="41"/>
  <c r="F48" i="84" s="1"/>
  <c r="F50" i="41"/>
  <c r="F49" i="84" s="1"/>
  <c r="F51" i="41"/>
  <c r="F50" i="84" s="1"/>
  <c r="F52" i="41"/>
  <c r="F51" i="84" s="1"/>
  <c r="F53" i="41"/>
  <c r="F52" i="84" s="1"/>
  <c r="F54" i="41"/>
  <c r="F53" i="84" s="1"/>
  <c r="F55" i="41"/>
  <c r="F54" i="84" s="1"/>
  <c r="F56" i="41"/>
  <c r="F55" i="84" s="1"/>
  <c r="F57" i="41"/>
  <c r="F56" i="84" s="1"/>
  <c r="F58" i="41"/>
  <c r="F57" i="84" s="1"/>
  <c r="F59" i="41"/>
  <c r="F58" i="84" s="1"/>
  <c r="F60" i="41"/>
  <c r="F59" i="84" s="1"/>
  <c r="F61" i="41"/>
  <c r="F60" i="84" s="1"/>
  <c r="F62" i="41"/>
  <c r="F61" i="84" s="1"/>
  <c r="F63" i="41"/>
  <c r="F62" i="84" s="1"/>
  <c r="F64" i="41"/>
  <c r="F63" i="84" s="1"/>
  <c r="F65" i="41"/>
  <c r="F64" i="84" s="1"/>
  <c r="F66" i="41"/>
  <c r="F65" i="84" s="1"/>
  <c r="F67" i="41"/>
  <c r="F66" i="84" s="1"/>
  <c r="F68" i="41"/>
  <c r="F67" i="84" s="1"/>
  <c r="F69" i="41"/>
  <c r="F68" i="84" s="1"/>
  <c r="F70" i="41"/>
  <c r="F69" i="84" s="1"/>
  <c r="F71" i="41"/>
  <c r="F70" i="84" s="1"/>
  <c r="F72" i="41"/>
  <c r="F71" i="84" s="1"/>
  <c r="F73" i="41"/>
  <c r="F72" i="84" s="1"/>
  <c r="F74" i="41"/>
  <c r="F73" i="84" s="1"/>
  <c r="F75" i="41"/>
  <c r="F74" i="84" s="1"/>
  <c r="F76" i="41"/>
  <c r="F75" i="84" s="1"/>
  <c r="F77" i="41"/>
  <c r="F76" i="84" s="1"/>
  <c r="D22" i="84" l="1"/>
  <c r="C22" i="84"/>
  <c r="D12" i="84"/>
  <c r="E9" i="40" l="1"/>
  <c r="E9" i="82" l="1"/>
  <c r="D9" i="82"/>
  <c r="S9" i="82" l="1"/>
  <c r="R9" i="82" s="1"/>
  <c r="E9" i="39"/>
  <c r="D9" i="71"/>
  <c r="J22" i="84" l="1"/>
  <c r="B9" i="84" l="1"/>
  <c r="C9" i="71" l="1"/>
  <c r="J9" i="71" l="1"/>
  <c r="C4" i="71" s="1"/>
  <c r="R20" i="55"/>
  <c r="O20" i="55"/>
  <c r="L20" i="55"/>
  <c r="I20" i="55"/>
  <c r="F20" i="55"/>
  <c r="B6" i="55"/>
  <c r="B7" i="55"/>
  <c r="B8" i="55"/>
  <c r="B9" i="55"/>
  <c r="B5" i="55"/>
  <c r="G5" i="55" s="1"/>
  <c r="F23" i="41"/>
  <c r="D9" i="39"/>
  <c r="D9" i="40"/>
  <c r="S16" i="55" l="1"/>
  <c r="R16" i="55"/>
  <c r="Q15" i="55"/>
  <c r="P15" i="55"/>
  <c r="O15" i="55"/>
  <c r="M15" i="55"/>
  <c r="L16" i="55"/>
  <c r="J15" i="55"/>
  <c r="G16" i="55"/>
  <c r="F16" i="55"/>
  <c r="D15" i="55"/>
  <c r="S15" i="55"/>
  <c r="P16" i="55"/>
  <c r="O16" i="55"/>
  <c r="M16" i="55"/>
  <c r="N15" i="55"/>
  <c r="L15" i="55"/>
  <c r="J16" i="55"/>
  <c r="I16" i="55"/>
  <c r="G15" i="55"/>
  <c r="D16" i="55"/>
  <c r="C16" i="55"/>
  <c r="N16" i="55"/>
  <c r="Q16" i="55"/>
  <c r="T9" i="55"/>
  <c r="S9" i="55"/>
  <c r="I9" i="55"/>
  <c r="G9" i="55"/>
  <c r="C9" i="55"/>
  <c r="R9" i="55"/>
  <c r="K9" i="55"/>
  <c r="J9" i="55"/>
  <c r="F9" i="55"/>
  <c r="E9" i="55"/>
  <c r="D9" i="55"/>
  <c r="H9" i="55"/>
  <c r="T7" i="55"/>
  <c r="S7" i="55"/>
  <c r="H7" i="55"/>
  <c r="R7" i="55"/>
  <c r="K7" i="55"/>
  <c r="J7" i="55"/>
  <c r="F7" i="55"/>
  <c r="E7" i="55"/>
  <c r="D7" i="55"/>
  <c r="I7" i="55"/>
  <c r="G7" i="55"/>
  <c r="C7" i="55"/>
  <c r="R5" i="55"/>
  <c r="K5" i="55"/>
  <c r="D5" i="55"/>
  <c r="T5" i="55"/>
  <c r="S5" i="55"/>
  <c r="I5" i="55"/>
  <c r="H5" i="55"/>
  <c r="C5" i="55"/>
  <c r="J5" i="55"/>
  <c r="F5" i="55"/>
  <c r="E5" i="55"/>
  <c r="R8" i="55"/>
  <c r="J8" i="55"/>
  <c r="F8" i="55"/>
  <c r="T8" i="55"/>
  <c r="S8" i="55"/>
  <c r="I8" i="55"/>
  <c r="H8" i="55"/>
  <c r="G8" i="55"/>
  <c r="C8" i="55"/>
  <c r="K8" i="55"/>
  <c r="E8" i="55"/>
  <c r="D8" i="55"/>
  <c r="R6" i="55"/>
  <c r="K6" i="55"/>
  <c r="E6" i="55"/>
  <c r="D6" i="55"/>
  <c r="T6" i="55"/>
  <c r="S6" i="55"/>
  <c r="I6" i="55"/>
  <c r="H6" i="55"/>
  <c r="G6" i="55"/>
  <c r="C6" i="55"/>
  <c r="J6" i="55"/>
  <c r="F6" i="55"/>
  <c r="X9" i="39"/>
  <c r="Q9" i="40"/>
  <c r="P9" i="40" s="1"/>
  <c r="U10" i="39"/>
  <c r="R10" i="39"/>
  <c r="F22" i="84"/>
  <c r="E5" i="78"/>
  <c r="E60" i="78" s="1"/>
  <c r="F65" i="78"/>
  <c r="F120" i="78" s="1"/>
  <c r="D5" i="78"/>
  <c r="D60" i="78" s="1"/>
  <c r="V9" i="39" l="1"/>
  <c r="W9" i="39"/>
  <c r="G17" i="55"/>
  <c r="S17" i="55"/>
  <c r="I76" i="55"/>
  <c r="R76" i="55"/>
  <c r="L76" i="55"/>
  <c r="O76" i="55"/>
  <c r="F76" i="55"/>
  <c r="L17" i="55"/>
  <c r="N17" i="55"/>
  <c r="Q17" i="55"/>
  <c r="D17" i="55"/>
  <c r="M17" i="55"/>
  <c r="P17" i="55"/>
  <c r="J17" i="55"/>
  <c r="O17" i="55"/>
  <c r="U7" i="55"/>
  <c r="U6" i="55"/>
  <c r="E10" i="55"/>
  <c r="J10" i="55"/>
  <c r="G10" i="55"/>
  <c r="T10" i="55"/>
  <c r="K10" i="55"/>
  <c r="M10" i="55"/>
  <c r="O10" i="55"/>
  <c r="Q10" i="55"/>
  <c r="U8" i="55"/>
  <c r="U5" i="55"/>
  <c r="H10" i="55"/>
  <c r="S10" i="55"/>
  <c r="D10" i="55"/>
  <c r="L10" i="55"/>
  <c r="N10" i="55"/>
  <c r="P10" i="55"/>
  <c r="U9" i="55"/>
  <c r="Y10" i="39"/>
  <c r="L65" i="78"/>
  <c r="R10" i="55"/>
  <c r="L5" i="78"/>
  <c r="L60" i="78" s="1"/>
  <c r="M5" i="78"/>
  <c r="M60" i="78" s="1"/>
  <c r="K9" i="41"/>
  <c r="L9" i="84" s="1"/>
  <c r="L120" i="78" l="1"/>
  <c r="M65" i="78"/>
  <c r="M120" i="78" s="1"/>
  <c r="U10" i="55"/>
  <c r="K22" i="84"/>
  <c r="J77" i="84"/>
  <c r="I23" i="41"/>
  <c r="K15" i="55" s="1"/>
  <c r="I10" i="55"/>
  <c r="F10" i="55"/>
  <c r="K16" i="55" l="1"/>
  <c r="K17" i="55" s="1"/>
  <c r="I15" i="55"/>
  <c r="I17" i="55" s="1"/>
  <c r="I78" i="41"/>
  <c r="I77" i="84" s="1"/>
  <c r="I22" i="84"/>
  <c r="O9" i="40" l="1"/>
  <c r="D4" i="40" s="1"/>
  <c r="E4" i="40" s="1"/>
  <c r="G12" i="41" s="1"/>
  <c r="E12" i="41" l="1"/>
  <c r="G12" i="84"/>
  <c r="G23" i="41"/>
  <c r="E15" i="55" s="1"/>
  <c r="C15" i="55" l="1"/>
  <c r="G78" i="41"/>
  <c r="E16" i="55"/>
  <c r="G22" i="84"/>
  <c r="E12" i="84"/>
  <c r="C17" i="55" l="1"/>
  <c r="E17" i="55"/>
  <c r="C10" i="55"/>
  <c r="L23" i="41" l="1"/>
  <c r="T15" i="55" s="1"/>
  <c r="H23" i="41"/>
  <c r="H15" i="55" s="1"/>
  <c r="T16" i="55" l="1"/>
  <c r="T17" i="55" s="1"/>
  <c r="R15" i="55"/>
  <c r="R17" i="55" s="1"/>
  <c r="H16" i="55"/>
  <c r="H17" i="55" s="1"/>
  <c r="F15" i="55"/>
  <c r="M23" i="41"/>
  <c r="H78" i="41"/>
  <c r="H77" i="84" s="1"/>
  <c r="L78" i="41"/>
  <c r="G77" i="84"/>
  <c r="H22" i="84"/>
  <c r="K77" i="84"/>
  <c r="L22" i="84"/>
  <c r="U16" i="55" l="1"/>
  <c r="F17" i="55"/>
  <c r="U15" i="55"/>
  <c r="M78" i="41"/>
  <c r="M77" i="84" s="1"/>
  <c r="M22" i="84"/>
  <c r="L77" i="84"/>
  <c r="D6" i="39"/>
  <c r="E14" i="41" s="1"/>
  <c r="E14" i="84" s="1"/>
  <c r="R9" i="39"/>
  <c r="U9" i="39"/>
  <c r="U17" i="55" l="1"/>
  <c r="Y9" i="39"/>
  <c r="D5" i="39" s="1"/>
  <c r="E5" i="39" s="1"/>
  <c r="G17" i="41" s="1"/>
  <c r="G17" i="84" s="1"/>
  <c r="E6" i="39"/>
  <c r="G14" i="41" s="1"/>
  <c r="G14" i="84" s="1"/>
  <c r="D4" i="39"/>
  <c r="E17" i="41" l="1"/>
  <c r="E17" i="84" s="1"/>
  <c r="E4" i="39"/>
  <c r="G13" i="41" s="1"/>
  <c r="G13" i="84" s="1"/>
  <c r="E13" i="41"/>
  <c r="E13" i="84" l="1"/>
  <c r="D4" i="82" l="1"/>
  <c r="E15" i="41" s="1"/>
  <c r="E15" i="84" s="1"/>
  <c r="E4" i="82" l="1"/>
  <c r="G15" i="41" s="1"/>
  <c r="G15" i="84" s="1"/>
  <c r="D4" i="76"/>
  <c r="E4" i="76" s="1"/>
  <c r="G16" i="41" s="1"/>
  <c r="G16" i="84" s="1"/>
  <c r="R9" i="76"/>
  <c r="E16" i="41" l="1"/>
  <c r="E16" i="84" l="1"/>
  <c r="E18" i="41"/>
  <c r="E18" i="84" s="1"/>
  <c r="L13" i="84" s="1"/>
  <c r="L14" i="84" s="1"/>
  <c r="L17" i="84" s="1"/>
</calcChain>
</file>

<file path=xl/sharedStrings.xml><?xml version="1.0" encoding="utf-8"?>
<sst xmlns="http://schemas.openxmlformats.org/spreadsheetml/2006/main" count="1954" uniqueCount="682">
  <si>
    <t>Country</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</si>
  <si>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</si>
  <si>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</si>
  <si>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</si>
  <si>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</si>
  <si>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</si>
  <si>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</si>
  <si>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</si>
  <si>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</si>
  <si>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</si>
  <si>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</si>
  <si>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</si>
  <si>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</si>
  <si>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</si>
  <si>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</si>
  <si>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</si>
  <si>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</si>
  <si>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</si>
  <si>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</si>
  <si>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</si>
  <si>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</si>
  <si>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</si>
  <si>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</si>
  <si>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</si>
  <si>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</si>
  <si>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</si>
  <si>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</si>
  <si>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</si>
  <si>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</si>
  <si>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</si>
  <si>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</si>
  <si>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</si>
  <si>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</si>
  <si>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</si>
  <si>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</si>
  <si>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</si>
  <si>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</si>
  <si>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</si>
  <si>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</si>
  <si>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</si>
  <si>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</si>
  <si>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</si>
  <si>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</si>
  <si>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</si>
  <si>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</si>
  <si>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</si>
  <si>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</si>
  <si>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</si>
  <si>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</si>
  <si>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</si>
  <si>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</si>
  <si>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</si>
  <si>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</si>
  <si>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</si>
  <si>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</si>
  <si>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</si>
  <si>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</si>
  <si>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</si>
  <si>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</si>
  <si>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</si>
  <si>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</si>
  <si>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</si>
  <si>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</si>
  <si>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</si>
  <si>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</si>
  <si>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</si>
  <si>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</si>
  <si>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</si>
  <si>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</si>
  <si>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</si>
  <si>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</si>
  <si>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</si>
  <si>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</si>
  <si>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</si>
  <si>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</si>
  <si>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</si>
  <si>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</si>
  <si>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</si>
  <si>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</si>
  <si>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</si>
  <si>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</si>
  <si>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</si>
  <si>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</si>
  <si>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</si>
  <si>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</si>
  <si>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</si>
  <si>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</si>
  <si>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</si>
  <si>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</si>
  <si>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</si>
  <si>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</si>
  <si>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</si>
  <si>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</si>
  <si>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</si>
  <si>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</si>
  <si>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</si>
  <si>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</si>
  <si>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</si>
  <si>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</si>
  <si>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</si>
  <si>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</si>
  <si>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</si>
  <si>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</si>
  <si>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</si>
  <si>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</si>
  <si>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</si>
  <si>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</si>
  <si>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</si>
  <si>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</si>
  <si>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</si>
  <si>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</si>
  <si>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</si>
  <si>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</si>
  <si>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</si>
  <si>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</si>
  <si>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</si>
  <si>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</si>
  <si>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</si>
  <si>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</si>
  <si>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</si>
  <si>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</si>
  <si>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</si>
  <si>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</si>
  <si>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</si>
  <si>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</si>
  <si>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</si>
  <si>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</si>
  <si>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Manager</t>
  </si>
  <si>
    <t>Nature, type and specifications of the item</t>
  </si>
  <si>
    <t>Key Action 2: Cooperation for innovation and the exchange of good practices</t>
  </si>
  <si>
    <t>Luxembourg</t>
  </si>
  <si>
    <t>Peru</t>
  </si>
  <si>
    <t>P41</t>
  </si>
  <si>
    <t>P42</t>
  </si>
  <si>
    <t>P43</t>
  </si>
  <si>
    <t>P44</t>
  </si>
  <si>
    <t>P45</t>
  </si>
  <si>
    <t>P46</t>
  </si>
  <si>
    <t>P47</t>
  </si>
  <si>
    <t>P48</t>
  </si>
  <si>
    <t>P49</t>
  </si>
  <si>
    <t>P50</t>
  </si>
  <si>
    <t>Partner 
N°</t>
  </si>
  <si>
    <t>Name of Partner</t>
  </si>
  <si>
    <t>Slovakia</t>
  </si>
  <si>
    <t>P13</t>
  </si>
  <si>
    <t>P51</t>
  </si>
  <si>
    <t>P52</t>
  </si>
  <si>
    <t>P53</t>
  </si>
  <si>
    <t>P54</t>
  </si>
  <si>
    <t>P55</t>
  </si>
  <si>
    <t>Work
Package</t>
  </si>
  <si>
    <t>1. Staff Costs</t>
  </si>
  <si>
    <t>Palestine</t>
  </si>
  <si>
    <t>Kosovo</t>
  </si>
  <si>
    <t>Development</t>
  </si>
  <si>
    <t>Preparation</t>
  </si>
  <si>
    <t>Management</t>
  </si>
  <si>
    <t>PR/PA</t>
  </si>
  <si>
    <t>Budget Breakdown by Workpackage / Budget Headings</t>
  </si>
  <si>
    <t>DISTRIBUTION OF THE GRANT BY ORGANISATION (in EUR)</t>
  </si>
  <si>
    <t>Ukraine</t>
  </si>
  <si>
    <t>Russia</t>
  </si>
  <si>
    <t>4. Equipment Costs</t>
  </si>
  <si>
    <t>5. Subcontracting Costs</t>
  </si>
  <si>
    <t>2. Travel Costs</t>
  </si>
  <si>
    <t>3. Costs of Stay</t>
  </si>
  <si>
    <t>Source of Co-financing**</t>
  </si>
  <si>
    <t>1. Staff 
Costs</t>
  </si>
  <si>
    <t>2. Travel 
Costs</t>
  </si>
  <si>
    <t>3. Costs of 
Stay</t>
  </si>
  <si>
    <t>4. Equipment 
Costs</t>
  </si>
  <si>
    <t>5. Subcontracting 
Costs</t>
  </si>
  <si>
    <t>Programme Countries</t>
  </si>
  <si>
    <t>Partner Countries</t>
  </si>
  <si>
    <t>3. Costs 
of Stay</t>
  </si>
  <si>
    <t>4. Equipment
Costs</t>
  </si>
  <si>
    <t>5. Subcontracting
Costs</t>
  </si>
  <si>
    <t>Budget Breakdown by Programme or Partner Countries / Budget Headings</t>
  </si>
  <si>
    <t>Partner
N°</t>
  </si>
  <si>
    <t>Budget Breakdown by Partner / Work Package</t>
  </si>
  <si>
    <t>Staff</t>
  </si>
  <si>
    <t>Student</t>
  </si>
  <si>
    <t>Partner N°</t>
  </si>
  <si>
    <t>Check
Data
Encoding</t>
  </si>
  <si>
    <t>** e.g.: governmental grant, organisation/institution's own resources</t>
  </si>
  <si>
    <t>former Yugoslav Republic of Macedonia</t>
  </si>
  <si>
    <t>Myanmar</t>
  </si>
  <si>
    <t>Work Package</t>
  </si>
  <si>
    <t>Category 2</t>
  </si>
  <si>
    <t>Sri Lanka</t>
  </si>
  <si>
    <t>El Salvador</t>
  </si>
  <si>
    <t>Capacity Building in the field of higher education</t>
  </si>
  <si>
    <t>Administrative Staff</t>
  </si>
  <si>
    <t>Technical Staff</t>
  </si>
  <si>
    <t>Quality Plan</t>
  </si>
  <si>
    <t>Dissemination &amp; Exploitation</t>
  </si>
  <si>
    <t>DPR Korea</t>
  </si>
  <si>
    <t>Kazakstan</t>
  </si>
  <si>
    <t>Name of Staff Member</t>
  </si>
  <si>
    <t>Supporting Document Ref.</t>
  </si>
  <si>
    <t>1. Grant Awarded (in EUR)</t>
  </si>
  <si>
    <t>Budget Heading</t>
  </si>
  <si>
    <t>Supporting 
Document Ref.</t>
  </si>
  <si>
    <t>Name of the Person travelling</t>
  </si>
  <si>
    <r>
      <rPr>
        <b/>
        <u/>
        <sz val="14"/>
        <rFont val="Arial Narrow"/>
        <family val="2"/>
      </rPr>
      <t>City and Country</t>
    </r>
    <r>
      <rPr>
        <b/>
        <sz val="14"/>
        <rFont val="Arial Narrow"/>
        <family val="2"/>
      </rPr>
      <t xml:space="preserve"> of 
Departure</t>
    </r>
  </si>
  <si>
    <r>
      <rPr>
        <b/>
        <u/>
        <sz val="14"/>
        <rFont val="Arial Narrow"/>
        <family val="2"/>
      </rPr>
      <t>City and Country</t>
    </r>
    <r>
      <rPr>
        <b/>
        <sz val="14"/>
        <rFont val="Arial Narrow"/>
        <family val="2"/>
      </rPr>
      <t xml:space="preserve"> of 
Destination</t>
    </r>
  </si>
  <si>
    <t>Budget Headings</t>
  </si>
  <si>
    <t>REQUEST FOR PAYMENT</t>
  </si>
  <si>
    <t xml:space="preserve"> IBAN</t>
  </si>
  <si>
    <t>2. Budget Spent (in EUR)</t>
  </si>
  <si>
    <t>Other</t>
  </si>
  <si>
    <t>Co-financing (for information only)</t>
  </si>
  <si>
    <t>Number 
of days for Costs of Stay</t>
  </si>
  <si>
    <t>Budget Breakdown by Partner / Category of Staff</t>
  </si>
  <si>
    <t>Budget Breakdown by Partner / Travel Costs &amp; Costs of Stay</t>
  </si>
  <si>
    <t>Number of
Days</t>
  </si>
  <si>
    <t>Total
(in EUR)</t>
  </si>
  <si>
    <t>Total
Days</t>
  </si>
  <si>
    <t>Travel Costs
(in EUR)</t>
  </si>
  <si>
    <t>Costs of Stay
(in EUR)</t>
  </si>
  <si>
    <t>Total Travel Costs
(in EUR)</t>
  </si>
  <si>
    <t>Total Costs of Stay
(in EUR)</t>
  </si>
  <si>
    <t>Total Costs of Stay (in EUR)</t>
  </si>
  <si>
    <t>Providing company</t>
  </si>
  <si>
    <t>Date:_____________________________</t>
  </si>
  <si>
    <t>Budget Heading*</t>
  </si>
  <si>
    <t>Nature, type and specifications of the item***</t>
  </si>
  <si>
    <t>Project Number</t>
  </si>
  <si>
    <r>
      <t xml:space="preserve">I hereby </t>
    </r>
    <r>
      <rPr>
        <b/>
        <sz val="14"/>
        <rFont val="Arial Narrow"/>
        <family val="2"/>
      </rPr>
      <t>do request</t>
    </r>
    <r>
      <rPr>
        <sz val="14"/>
        <rFont val="Arial Narrow"/>
        <family val="2"/>
      </rPr>
      <t xml:space="preserve"> the payment of the 2nd prefinancing</t>
    </r>
  </si>
  <si>
    <r>
      <t xml:space="preserve">Date, name and signature of the </t>
    </r>
    <r>
      <rPr>
        <b/>
        <u/>
        <sz val="14"/>
        <rFont val="Arial Narrow"/>
        <family val="2"/>
      </rPr>
      <t>legal representative</t>
    </r>
    <r>
      <rPr>
        <sz val="14"/>
        <rFont val="Arial Narrow"/>
        <family val="2"/>
      </rPr>
      <t xml:space="preserve"> of the beneficiary institution:</t>
    </r>
  </si>
  <si>
    <r>
      <t xml:space="preserve">I hereby </t>
    </r>
    <r>
      <rPr>
        <b/>
        <sz val="14"/>
        <rFont val="Arial Narrow"/>
        <family val="2"/>
      </rPr>
      <t>request</t>
    </r>
    <r>
      <rPr>
        <sz val="14"/>
        <rFont val="Arial Narrow"/>
        <family val="2"/>
      </rPr>
      <t xml:space="preserve"> the </t>
    </r>
    <r>
      <rPr>
        <b/>
        <sz val="14"/>
        <rFont val="Arial Narrow"/>
        <family val="2"/>
      </rPr>
      <t>payment of the balance</t>
    </r>
    <r>
      <rPr>
        <sz val="14"/>
        <rFont val="Arial Narrow"/>
        <family val="2"/>
      </rPr>
      <t xml:space="preserve"> to the following bank account</t>
    </r>
  </si>
  <si>
    <t>* If the financial statement is not signed by the legal representative, please provide documentation of accreditation showing that the person who signed the financial statement has the right to sign on behalf of the legal representative.</t>
  </si>
  <si>
    <t>- Please click "enable content" if requested by your system.</t>
  </si>
  <si>
    <t>- Please click "activate the macros" if requested by your system.</t>
  </si>
  <si>
    <t>IMPORTANT NOTE:</t>
  </si>
  <si>
    <t>In addition to these instructions, the file includes the following sheets:</t>
  </si>
  <si>
    <t>PURPOSE OF THIS TOOL</t>
  </si>
  <si>
    <t>- Date</t>
  </si>
  <si>
    <t>- Signature</t>
  </si>
  <si>
    <t>- Work package (to be chosen via a "drop down menu")</t>
  </si>
  <si>
    <t>- Partner No. (to be chosen via a "drop down menu")</t>
  </si>
  <si>
    <t>- Supporting document Ref. (to be encoded)</t>
  </si>
  <si>
    <t>- Name of Staff Member (to be encoded)</t>
  </si>
  <si>
    <t>- Short description of tasks (to be encoded)</t>
  </si>
  <si>
    <t>- Project number (to be encoded) - please use the same numbering reported in the Grant Agreement</t>
  </si>
  <si>
    <t xml:space="preserve">- Country (to be chosen via a "drop down menu") </t>
  </si>
  <si>
    <t>- Name of the person travelling (to be encoded)</t>
  </si>
  <si>
    <t>- Invoice date (to be encoded) - format must be dd/mm/yy</t>
  </si>
  <si>
    <t>- Nature, type and specification of the item (to be encoded)</t>
  </si>
  <si>
    <t>- Providing company (to be encoded)</t>
  </si>
  <si>
    <t>- To add a row, click the button "ADD ROW" (the row will be added after the row currently selected)</t>
  </si>
  <si>
    <t>- To delete a row, click the button "DELETE ROW" (the row that will be deleted is the row currently selected)</t>
  </si>
  <si>
    <t>- To duplicate a row, click the button "DUPLICATE ROW" (enter the row to duplicate, the row will be added after the row currently selected)</t>
  </si>
  <si>
    <t>REQUEST FOR THE SECOND PRE-FINANCING</t>
  </si>
  <si>
    <t>ANNEX VI - FINAL FINANCIAL STATEMENT</t>
  </si>
  <si>
    <t>Name:________________________________________       Function:___________________________________      Signature of the legal representative:______________________________________________</t>
  </si>
  <si>
    <t>When opening the file and in order to make it work properly:</t>
  </si>
  <si>
    <t xml:space="preserve">- "Breakdown &amp; Project funding" 
- "Breakdown Staff - Travel costs &amp; Costs of stay" </t>
  </si>
  <si>
    <t xml:space="preserve">Information to be encoded (blue coloured cells): </t>
  </si>
  <si>
    <t>Staff category</t>
  </si>
  <si>
    <t>Please note that one row has to be filled in for every single person travelling</t>
  </si>
  <si>
    <t>●</t>
  </si>
  <si>
    <t>2 sheets (yellow tabs):</t>
  </si>
  <si>
    <t>4 individual "financial tables" for the respective budget headings (blue tabs):</t>
  </si>
  <si>
    <r>
      <rPr>
        <b/>
        <sz val="10"/>
        <rFont val="Arial"/>
        <family val="2"/>
      </rPr>
      <t>1 sheet "Co-financing" (purple tab)</t>
    </r>
    <r>
      <rPr>
        <sz val="10"/>
        <rFont val="Arial"/>
        <family val="2"/>
      </rPr>
      <t>: to be filled in for information only.</t>
    </r>
  </si>
  <si>
    <t>- Grant Awarded (to be encoded) - please report the budget as detailed in Annex III of the Grant Agreement or any subsequent amendments (if applicable)</t>
  </si>
  <si>
    <t>- Staff category (to be chosen via a "drop down menu"). The value must correspond to the nature of the task and not necessarily to the role of the staff member in the organisation.</t>
  </si>
  <si>
    <r>
      <t>- City and Country of departure (to be encoded)</t>
    </r>
    <r>
      <rPr>
        <sz val="10"/>
        <rFont val="Arial"/>
        <family val="2"/>
      </rPr>
      <t xml:space="preserve">. </t>
    </r>
  </si>
  <si>
    <r>
      <t>- City and Country of destination (to be encoded)</t>
    </r>
    <r>
      <rPr>
        <sz val="10"/>
        <rFont val="Arial"/>
        <family val="2"/>
      </rPr>
      <t xml:space="preserve">. </t>
    </r>
  </si>
  <si>
    <t>Please fill in exactly the name of the city and Country. This data/information is used to determine the travel distance band.</t>
  </si>
  <si>
    <t xml:space="preserve">Please note that information on the co-financing must be filled in for statistical purposes only. Therefore, it will not have any impact on the amount of the final grant. </t>
  </si>
  <si>
    <r>
      <t xml:space="preserve">- Name of Partner (to be encoded) - please encode the name of each of the project Partners </t>
    </r>
    <r>
      <rPr>
        <b/>
        <sz val="10"/>
        <color theme="1"/>
        <rFont val="Arial"/>
        <family val="2"/>
      </rPr>
      <t>following the same order as in Annex IV of the Grant Agreement</t>
    </r>
  </si>
  <si>
    <t>- IBAN: Please fill in the Bank account number. Please note that the bank account indicated must be the same as the one specified in the Grant Agreement or any subsequent amendments (if applicable). In case you wish to indicate a new bank account, you need to contact the Agency and request an amendment to the Grant Agreement.</t>
  </si>
  <si>
    <t>- Name and Function</t>
  </si>
  <si>
    <t>- Save the file on your desktop and save it as an "Excel Macro-Enableb Wordkbook" file.</t>
  </si>
  <si>
    <t>- Go to file =&gt; option =&gt; advanced =&gt; display option for this workbook =&gt; For objects, click the "show all" option.</t>
  </si>
  <si>
    <t>- This Excel sheet is most suited to the Windows operating system using MS Office 2010.</t>
  </si>
  <si>
    <r>
      <t xml:space="preserve">- This Excel sheet is protected and pre-formatted, meaning that </t>
    </r>
    <r>
      <rPr>
        <b/>
        <sz val="10"/>
        <color theme="1"/>
        <rFont val="Arial"/>
        <family val="2"/>
      </rPr>
      <t>only the buttons and blue coloured fields are accessible for encoding data.</t>
    </r>
    <r>
      <rPr>
        <sz val="10"/>
        <color theme="1"/>
        <rFont val="Arial"/>
        <family val="2"/>
      </rPr>
      <t xml:space="preserve"> TO AVOID ANY ERROR OF CALCULATION, PLEASE DO NOT COPY/PASTE DATA FROM OTHER SOURCES (DATA MUST BE ENCODED OR SELECTED VIA THE DROPDOWN MENUS) and ensure that the data encoded is correct.</t>
    </r>
  </si>
  <si>
    <r>
      <rPr>
        <b/>
        <sz val="10"/>
        <rFont val="Arial"/>
        <family val="2"/>
      </rPr>
      <t>2 summary sheets (green tabs)</t>
    </r>
    <r>
      <rPr>
        <sz val="10"/>
        <rFont val="Arial"/>
        <family val="2"/>
      </rPr>
      <t xml:space="preserve">, which are available for information only, and for monitoring the budget consumtion. These sheets are filled in automatically. No data can be encoded. </t>
    </r>
  </si>
  <si>
    <t>2) Monitoring the use of the grant for what concerns the disbursement of actual and unit costs, throughout project implementation. This will allow the partnership to monitor its budget consumption and the progress made in the implementation of the activities funded through unit costs.</t>
  </si>
  <si>
    <t>- From: Please encode the start date of the working period (to be encoded)</t>
  </si>
  <si>
    <t>- To: Please encode the end date of the working period (to be encoded)</t>
  </si>
  <si>
    <t>- Travel distance (to be encoded). Please fill in the number of kilometres from the city of departure to the city of destination using the Erasmus+ travel distance calculator: http://ec.europa.eu/education/tools/distance_en.htm. Please note that unit costs for "Travel" are calculated exclusively on the basis of this number.</t>
  </si>
  <si>
    <t>Please note that Equipment is intended exclusively for the Partner Country Higher Education Institutions (as defined in the Programme Guide) which are included in the partnership. Therefore, only costs allocated to partners from "Partner countries" can be reported. If more project partners are benefitting from the same equipment, the costs can be split into more rows and allocated to different partners.</t>
  </si>
  <si>
    <t>1) Fulfilling your reporting obligations as specified under Article I.4. and in Annex V and VI of the Grant Agreement.</t>
  </si>
  <si>
    <t>-"Final financial statement", to be sent together with the Final report on implementation of the action" and other documents following the instructions specified in Annex V and VI of the Grant Agreement.</t>
  </si>
  <si>
    <t>*** e.g.: printing course material (200 copies); renting conference premises (2 days, 100 participants); etc.</t>
  </si>
  <si>
    <t>Belize</t>
  </si>
  <si>
    <t>Angola</t>
  </si>
  <si>
    <t>Antigua and Barbuda</t>
  </si>
  <si>
    <t>Bahamas</t>
  </si>
  <si>
    <t>Barbados</t>
  </si>
  <si>
    <t>Benin</t>
  </si>
  <si>
    <t>Botswana</t>
  </si>
  <si>
    <t>Burkina Faso</t>
  </si>
  <si>
    <t>Burundi</t>
  </si>
  <si>
    <t>Cameroon</t>
  </si>
  <si>
    <t>Cape Verde</t>
  </si>
  <si>
    <t>Central African Republic</t>
  </si>
  <si>
    <t>Chad</t>
  </si>
  <si>
    <t>Comoros</t>
  </si>
  <si>
    <t>Congo</t>
  </si>
  <si>
    <t>Congo - Republic of the-</t>
  </si>
  <si>
    <t>Cook Islands</t>
  </si>
  <si>
    <t>Djibouti</t>
  </si>
  <si>
    <t>Dominica</t>
  </si>
  <si>
    <t>Dominican Republic</t>
  </si>
  <si>
    <t>Equatorial Guinea</t>
  </si>
  <si>
    <t>Eritrea</t>
  </si>
  <si>
    <t>Ethiopia</t>
  </si>
  <si>
    <t>Fiji</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</si>
  <si>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</si>
  <si>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</si>
  <si>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</si>
  <si>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</si>
  <si>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</si>
  <si>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</si>
  <si>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</si>
  <si>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</si>
  <si>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</si>
  <si>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</si>
  <si>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</si>
  <si>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</si>
  <si>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</si>
  <si>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</si>
  <si>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</si>
  <si>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</si>
  <si>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</si>
  <si>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</si>
  <si>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</si>
  <si>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</si>
  <si>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Micronesia - Federated States of-</t>
  </si>
  <si>
    <t>Mozambique</t>
  </si>
  <si>
    <t>Namibia</t>
  </si>
  <si>
    <t>Nauru</t>
  </si>
  <si>
    <t>Niger</t>
  </si>
  <si>
    <t>Nigeria</t>
  </si>
  <si>
    <t>Niue</t>
  </si>
  <si>
    <t>Palau</t>
  </si>
  <si>
    <t>Papua New Guinea</t>
  </si>
  <si>
    <t>Rwanda</t>
  </si>
  <si>
    <t>Saint Kitts and Nevis</t>
  </si>
  <si>
    <t>Saint Lucia</t>
  </si>
  <si>
    <t>Saint Vincent and the Grenadines</t>
  </si>
  <si>
    <t>Samoa</t>
  </si>
  <si>
    <t>Sao Tome and Principe</t>
  </si>
  <si>
    <t>Senegal</t>
  </si>
  <si>
    <t>Seychelles</t>
  </si>
  <si>
    <t>Sierra Leone</t>
  </si>
  <si>
    <t>Solomon Islands</t>
  </si>
  <si>
    <t>Somalia</t>
  </si>
  <si>
    <t>South Sudan</t>
  </si>
  <si>
    <t>Sudan</t>
  </si>
  <si>
    <t>Suriname</t>
  </si>
  <si>
    <t>Swaziland</t>
  </si>
  <si>
    <t>Tanzania</t>
  </si>
  <si>
    <t>Timor Leste - Republic of-</t>
  </si>
  <si>
    <t>Togo</t>
  </si>
  <si>
    <t>Tonga</t>
  </si>
  <si>
    <t>Trinidad and Tobago</t>
  </si>
  <si>
    <t>Tuvalu</t>
  </si>
  <si>
    <t>Uganda</t>
  </si>
  <si>
    <t>Vanuatu</t>
  </si>
  <si>
    <t>Zambia</t>
  </si>
  <si>
    <t>Zimbabwe</t>
  </si>
  <si>
    <t>ANNEX VI - STATEMENT ON THE USE OF THE PREVIOUS PRE-FINANCING INSTALMENT AND REQUEST FOR PAYMENT (SECOND PRE-FINANCING)</t>
  </si>
  <si>
    <t>ANNEX VI - STATEMENT ON THE USE OF THE PREVIOUS PRE-FINANCING INSTALMENT (in EUR)</t>
  </si>
  <si>
    <t>6. Exceptional Costs</t>
  </si>
  <si>
    <t>Total Grant requested from the European Union</t>
  </si>
  <si>
    <t>Total Travel Costs - Unit Costs (in EUR)</t>
  </si>
  <si>
    <t>Total Travel Costs - Exceptional Costs (in EUR)</t>
  </si>
  <si>
    <t>6. Exceptional 
Costs</t>
  </si>
  <si>
    <t>Rates</t>
  </si>
  <si>
    <t>Total Exceptional Costs
(in EUR)</t>
  </si>
  <si>
    <t>Total 
(in EUR)</t>
  </si>
  <si>
    <t>Total (in EUR)</t>
  </si>
  <si>
    <t>Total Staff Costs (in EUR)</t>
  </si>
  <si>
    <t>Total Equipment Costs (in EUR)</t>
  </si>
  <si>
    <t>Total Subcontracting Costs (in EUR)</t>
  </si>
  <si>
    <t>Total Co-financing (in EUR)</t>
  </si>
  <si>
    <t>Exceptional 
Costs (in EUR)</t>
  </si>
  <si>
    <t>2-3-6. Travel Costs &amp; Costs of Stay (Including Exceptional Travel Costs if applicable)</t>
  </si>
  <si>
    <t xml:space="preserve">Teaching/training assignment </t>
  </si>
  <si>
    <t>Training and retraining purposes</t>
  </si>
  <si>
    <t>Updating programmes and courses</t>
  </si>
  <si>
    <t>Practical placements in companies, industries
and institutions</t>
  </si>
  <si>
    <t>Project management related meetings</t>
  </si>
  <si>
    <t>Workshops and visits for result dissemination purposes</t>
  </si>
  <si>
    <t>Study period</t>
  </si>
  <si>
    <t>Participation in intensive courses</t>
  </si>
  <si>
    <t>Practical placements, internships in companies, industries or institutions</t>
  </si>
  <si>
    <t>Participation in short term activities linked to the management of the project</t>
  </si>
  <si>
    <t>No</t>
  </si>
  <si>
    <t>EXCEPTIONAL
TRAVEL
COSTS</t>
  </si>
  <si>
    <t>Short description of tasks and Results Achieved</t>
  </si>
  <si>
    <t>* e.g.: Equipment,  Staff costs, travel costs and/or costs of stay, subcontracting costs</t>
  </si>
  <si>
    <t>USE OF 1ST PREFIN &amp; 2ND PREFIN</t>
  </si>
  <si>
    <t>FINAL FINANCIAL STATEMENT</t>
  </si>
  <si>
    <t>1. STAFF COSTS</t>
  </si>
  <si>
    <t xml:space="preserve"> CO-FINANCING</t>
  </si>
  <si>
    <t>6. EXCEPTIONAL COSTS</t>
  </si>
  <si>
    <t>The total amount for travel and costs of stay is calculated automatically in columns T, U and V.</t>
  </si>
  <si>
    <t>-"Use of 1st &amp; 2nd Prefin", to be sent together with the "Progress report on implementation of the action" and other documents following the instructions specified in Annex V and VI of the Grant Agreement.</t>
  </si>
  <si>
    <t>1. Staff Costs – 2-3-6. Travel costs&amp;CoS&amp;EC – 4. Equipment Costs – 5. Subcontracting Costs; these tables must be filled in throughout the project implementation</t>
  </si>
  <si>
    <r>
      <rPr>
        <b/>
        <sz val="10"/>
        <rFont val="Arial"/>
        <family val="2"/>
      </rPr>
      <t>Important notice:</t>
    </r>
    <r>
      <rPr>
        <sz val="10"/>
        <rFont val="Arial"/>
        <family val="2"/>
      </rPr>
      <t xml:space="preserve">
</t>
    </r>
    <r>
      <rPr>
        <b/>
        <sz val="10"/>
        <rFont val="Arial"/>
        <family val="2"/>
      </rPr>
      <t>Before completing the financial tables with their respective data, you must first fill in the "Final Financial statement" sheet</t>
    </r>
    <r>
      <rPr>
        <sz val="10"/>
        <rFont val="Arial"/>
        <family val="2"/>
      </rPr>
      <t xml:space="preserve"> following the instructions below. This will allow you to complete the individual "financial tables" for each budget heading (instructions provided below). The financial information for the "Final financial statement" and the "Use of 1st Prefin &amp; 2nd Prefin" will be filled in automatically once the "financial tables" for each budget heading are filled in.</t>
    </r>
  </si>
  <si>
    <t>- The total amount for staff costs is calculated automatically in column O. (number of days x unit cost)</t>
  </si>
  <si>
    <t>- Exceptional travel costs have to be encoded in the sheet "2-3-6. Travel Costs&amp;CoS&amp;EC" and can be claimed only if there is an agreed budget under such budget heading. 
- In each individual line of expenses, the Unit Cost will be replaced by 80% of the Actual Costs only if you confirm the replacement of the Unit Costs by the Actual costs (by selecting "Yes" in the column S of each travel and only if the Unit Costs cover less than 65% of the Actual Costs. In this case, the Travel Costs calculated in column T will be automatically replaced by 80% of the Actual Travel Costs.</t>
  </si>
  <si>
    <r>
      <rPr>
        <b/>
        <u/>
        <sz val="14"/>
        <color theme="1"/>
        <rFont val="Arial Narrow"/>
        <family val="2"/>
      </rPr>
      <t>Reminder:</t>
    </r>
    <r>
      <rPr>
        <b/>
        <sz val="14"/>
        <color theme="1"/>
        <rFont val="Arial Narrow"/>
        <family val="2"/>
      </rPr>
      <t xml:space="preserve">
- Exceptional travel costs can be claimed only if there is an agreed budget under such budget heading. 
- The Unit Cost will be replaced by 80% of the Actual Costs only if you confirm the replacement of the Unit Costs by the Actual costs (by selecting "Yes" in the column S and only if the Unit Costs cover less than 65% of the Actual Costs. In this case, the Travel Costs calculated in column T will be automatically replaced by 80% of the Actual Travel Costs.</t>
    </r>
  </si>
  <si>
    <t>- Activity N° (to be encoded)</t>
  </si>
  <si>
    <t>2-3-6. TRAVEL COSTS&amp;CoS&amp;EC</t>
  </si>
  <si>
    <t>Confirm request for exceptional costs ?</t>
  </si>
  <si>
    <t xml:space="preserve">- Number of days (to be encoded). Please fill in the number of days dedicated to the activity (including travel) and for which costs of stay are claimed. Please note that if more days than the maximum calendar days between Departure date and Return date are reported or if the number of days declared is higher than 90 days, the calculation of unit costs will be automatically limited to 90 days or to the total calendar day's period declared and the cell in column U of the respective line of expenses will be coloured in orange. </t>
  </si>
  <si>
    <t xml:space="preserve">- Number of days: please encode the number of days worked for the project in the working period. Number of days declared can be lower than those of the working period (e.g. holidays during the declared period) but cannot be higher. If so, the calculation of unit costs will be automatically limited to the total calendar day's period declared and the cell in column O of the respective line of expenses will be coloured in orange. </t>
  </si>
  <si>
    <t>Role Code</t>
  </si>
  <si>
    <t>Partner</t>
  </si>
  <si>
    <t>Aff. Partner P1</t>
  </si>
  <si>
    <t>Aff. Partner P2</t>
  </si>
  <si>
    <t>Aff. Partner P3</t>
  </si>
  <si>
    <t>Aff. Partner P4</t>
  </si>
  <si>
    <t>Aff. Partner P5</t>
  </si>
  <si>
    <t>Aff. Partner P6</t>
  </si>
  <si>
    <t>Aff. Partner P7</t>
  </si>
  <si>
    <t>Aff. Partner P8</t>
  </si>
  <si>
    <t>Aff. Partner P9</t>
  </si>
  <si>
    <t>Aff. Partner P10</t>
  </si>
  <si>
    <t>Aff. Partner P11</t>
  </si>
  <si>
    <t>Aff. Partner P12</t>
  </si>
  <si>
    <t>Aff. Partner P13</t>
  </si>
  <si>
    <t>Aff. Partner P14</t>
  </si>
  <si>
    <t>Aff. Partner P15</t>
  </si>
  <si>
    <t>Aff. Partner P16</t>
  </si>
  <si>
    <t>Aff. Partner P17</t>
  </si>
  <si>
    <t>Aff. Partner P18</t>
  </si>
  <si>
    <t>Aff. Partner P19</t>
  </si>
  <si>
    <t>Aff. Partner P20</t>
  </si>
  <si>
    <t>Aff. Partner P21</t>
  </si>
  <si>
    <t>Aff. Partner P22</t>
  </si>
  <si>
    <t>Aff. Partner P23</t>
  </si>
  <si>
    <t>Aff. Partner P24</t>
  </si>
  <si>
    <t>Aff. Partner P25</t>
  </si>
  <si>
    <t>Aff. Partner P26</t>
  </si>
  <si>
    <t>Aff. Partner P27</t>
  </si>
  <si>
    <t>Aff. Partner P28</t>
  </si>
  <si>
    <t>Aff. Partner P29</t>
  </si>
  <si>
    <t>Aff. Partner P30</t>
  </si>
  <si>
    <t>Aff. Partner P31</t>
  </si>
  <si>
    <t>Aff. Partner P32</t>
  </si>
  <si>
    <t>Aff. Partner P33</t>
  </si>
  <si>
    <t>Aff. Partner P34</t>
  </si>
  <si>
    <t>Aff. Partner P35</t>
  </si>
  <si>
    <t>Aff. Partner P36</t>
  </si>
  <si>
    <t>Aff. Partner P37</t>
  </si>
  <si>
    <t>Aff. Partner P38</t>
  </si>
  <si>
    <t>Aff. Partner P39</t>
  </si>
  <si>
    <t>Aff. Partner P40</t>
  </si>
  <si>
    <t>Aff. Partner P41</t>
  </si>
  <si>
    <t>Aff. Partner P42</t>
  </si>
  <si>
    <t>Aff. Partner P43</t>
  </si>
  <si>
    <t>Aff. Partner P44</t>
  </si>
  <si>
    <t>Aff. Partner P45</t>
  </si>
  <si>
    <t>Aff. Partner P46</t>
  </si>
  <si>
    <t>Aff. Partner P47</t>
  </si>
  <si>
    <t>Aff. Partner P48</t>
  </si>
  <si>
    <t>Aff. Partner P49</t>
  </si>
  <si>
    <t>Aff. Partner P50</t>
  </si>
  <si>
    <t>Aff. Partner P51</t>
  </si>
  <si>
    <t>Aff. Partner P52</t>
  </si>
  <si>
    <t>Aff. Partner P53</t>
  </si>
  <si>
    <t>Aff. Partner P54</t>
  </si>
  <si>
    <t>Aff. Partner P55</t>
  </si>
  <si>
    <t>Coord</t>
  </si>
  <si>
    <t>Aff. Partner</t>
  </si>
  <si>
    <t>Programme Country / Partner Country</t>
  </si>
  <si>
    <t>Programme Country /
Partner Country</t>
  </si>
  <si>
    <t>Role
Code</t>
  </si>
  <si>
    <t>Category of Person</t>
  </si>
  <si>
    <t>- Category of Person (to be chosen only via a "drop down menu")</t>
  </si>
  <si>
    <t>- Type of Activity (to be chosen only via a "drop down menu" - drop down menu contextual to "Category of Person")</t>
  </si>
  <si>
    <t>- Role Code - (to be chosen via a "drop down menu"). If affiliated entities have been foreseen in the Grant Agreement (Annex IV) and if expenses have to be declared for those entities, please select the code Aff. Partner P5 if the Partner is an affiliated entity of Partner 5 (as for example).</t>
  </si>
  <si>
    <t>- To export data to an unprotected workbook, click on "EXPORT DATA"</t>
  </si>
  <si>
    <t>GENERAL INSTRUCTIONS - CBHE 2019 - ANNEX VI - FINANCIAL STATEMENTS</t>
  </si>
  <si>
    <t>Average</t>
  </si>
  <si>
    <r>
      <t xml:space="preserve">Select option for conversion </t>
    </r>
    <r>
      <rPr>
        <sz val="14"/>
        <rFont val="Arial Narrow"/>
        <family val="2"/>
      </rPr>
      <t>(Average or Usual Practices)</t>
    </r>
  </si>
  <si>
    <r>
      <t xml:space="preserve">Currency indicated on the invoice 
</t>
    </r>
    <r>
      <rPr>
        <sz val="14"/>
        <rFont val="Arial Narrow"/>
        <family val="2"/>
      </rPr>
      <t>(to encode in Exchange Rates sheet)</t>
    </r>
  </si>
  <si>
    <r>
      <t xml:space="preserve">Name of Partner 
benefitting from the equipment
</t>
    </r>
    <r>
      <rPr>
        <sz val="14"/>
        <rFont val="Arial Narrow"/>
        <family val="2"/>
      </rPr>
      <t>(to encode in the final financial statement sheet)</t>
    </r>
  </si>
  <si>
    <r>
      <t xml:space="preserve">Country
</t>
    </r>
    <r>
      <rPr>
        <sz val="14"/>
        <rFont val="Arial Narrow"/>
        <family val="2"/>
      </rPr>
      <t>(to encode in the final financial statement sheet)</t>
    </r>
  </si>
  <si>
    <r>
      <t xml:space="preserve">Role Code
</t>
    </r>
    <r>
      <rPr>
        <sz val="14"/>
        <rFont val="Arial Narrow"/>
        <family val="2"/>
      </rPr>
      <t>(to encode in the final financial statement sheet)</t>
    </r>
  </si>
  <si>
    <r>
      <t xml:space="preserve">Name of Partner 
who paid for the subcontracting
</t>
    </r>
    <r>
      <rPr>
        <sz val="14"/>
        <rFont val="Arial Narrow"/>
        <family val="2"/>
      </rPr>
      <t>(to encode in the final financial statement sheet)</t>
    </r>
  </si>
  <si>
    <r>
      <t xml:space="preserve">Name of Partner
</t>
    </r>
    <r>
      <rPr>
        <sz val="14"/>
        <rFont val="Arial Narrow"/>
        <family val="2"/>
      </rPr>
      <t>(to encode in the final financial statement sheet)</t>
    </r>
  </si>
  <si>
    <r>
      <t xml:space="preserve">Type of Activity
</t>
    </r>
    <r>
      <rPr>
        <sz val="14"/>
        <rFont val="Arial Narrow"/>
        <family val="2"/>
      </rPr>
      <t>(main activity)</t>
    </r>
  </si>
  <si>
    <r>
      <t xml:space="preserve">Activity N°
</t>
    </r>
    <r>
      <rPr>
        <sz val="14"/>
        <rFont val="Arial Narrow"/>
        <family val="2"/>
      </rPr>
      <t>(ex: WP2, Activity 2.3)</t>
    </r>
  </si>
  <si>
    <r>
      <t xml:space="preserve">From
</t>
    </r>
    <r>
      <rPr>
        <u/>
        <sz val="14"/>
        <rFont val="Arial Narrow"/>
        <family val="2"/>
      </rPr>
      <t>(dd/mm/yy)</t>
    </r>
  </si>
  <si>
    <r>
      <t xml:space="preserve">To
</t>
    </r>
    <r>
      <rPr>
        <u/>
        <sz val="14"/>
        <rFont val="Arial Narrow"/>
        <family val="2"/>
      </rPr>
      <t>(dd/mm/yy)</t>
    </r>
  </si>
  <si>
    <r>
      <rPr>
        <b/>
        <sz val="14"/>
        <rFont val="Arial Narrow"/>
        <family val="2"/>
      </rPr>
      <t>Departure Date</t>
    </r>
    <r>
      <rPr>
        <b/>
        <u/>
        <sz val="14"/>
        <rFont val="Arial Narrow"/>
        <family val="2"/>
      </rPr>
      <t xml:space="preserve">
</t>
    </r>
    <r>
      <rPr>
        <u/>
        <sz val="14"/>
        <rFont val="Arial Narrow"/>
        <family val="2"/>
      </rPr>
      <t>(dd/mm/yy)</t>
    </r>
  </si>
  <si>
    <r>
      <rPr>
        <b/>
        <sz val="14"/>
        <rFont val="Arial Narrow"/>
        <family val="2"/>
      </rPr>
      <t>Return Date</t>
    </r>
    <r>
      <rPr>
        <b/>
        <u/>
        <sz val="14"/>
        <rFont val="Arial Narrow"/>
        <family val="2"/>
      </rPr>
      <t xml:space="preserve">
</t>
    </r>
    <r>
      <rPr>
        <u/>
        <sz val="14"/>
        <rFont val="Arial Narrow"/>
        <family val="2"/>
      </rPr>
      <t>(dd/mm/yy)</t>
    </r>
  </si>
  <si>
    <r>
      <t xml:space="preserve">Invoice Date
</t>
    </r>
    <r>
      <rPr>
        <u/>
        <sz val="14"/>
        <rFont val="Arial Narrow"/>
        <family val="2"/>
      </rPr>
      <t>(dd/mm/yy)</t>
    </r>
  </si>
  <si>
    <r>
      <t xml:space="preserve">Number of 
days
</t>
    </r>
    <r>
      <rPr>
        <sz val="14"/>
        <rFont val="Arial Narrow"/>
        <family val="2"/>
      </rPr>
      <t>(A)</t>
    </r>
  </si>
  <si>
    <r>
      <t xml:space="preserve">Unit cost per day 
(in EUR)
</t>
    </r>
    <r>
      <rPr>
        <sz val="14"/>
        <rFont val="Arial Narrow"/>
        <family val="2"/>
      </rPr>
      <t>(B)</t>
    </r>
  </si>
  <si>
    <r>
      <t xml:space="preserve">Total Calculated
</t>
    </r>
    <r>
      <rPr>
        <sz val="14"/>
        <rFont val="Arial Narrow"/>
        <family val="2"/>
      </rPr>
      <t>(in EUR)</t>
    </r>
    <r>
      <rPr>
        <b/>
        <sz val="14"/>
        <rFont val="Arial Narrow"/>
        <family val="2"/>
      </rPr>
      <t xml:space="preserve">
</t>
    </r>
    <r>
      <rPr>
        <sz val="14"/>
        <rFont val="Arial Narrow"/>
        <family val="2"/>
      </rPr>
      <t>(A x B)</t>
    </r>
  </si>
  <si>
    <r>
      <t xml:space="preserve">Travel 
Distance 
</t>
    </r>
    <r>
      <rPr>
        <sz val="14"/>
        <rFont val="Arial Narrow"/>
        <family val="2"/>
      </rPr>
      <t>(In KM)</t>
    </r>
  </si>
  <si>
    <r>
      <t xml:space="preserve">Unit Cost according to KM indicated
</t>
    </r>
    <r>
      <rPr>
        <sz val="14"/>
        <rFont val="Arial Narrow"/>
        <family val="2"/>
      </rPr>
      <t>(in EUR)</t>
    </r>
  </si>
  <si>
    <r>
      <t xml:space="preserve">If exceptional costs are claimed, please indicate Actual Travel Costs
</t>
    </r>
    <r>
      <rPr>
        <sz val="14"/>
        <color theme="1"/>
        <rFont val="Arial Narrow"/>
        <family val="2"/>
      </rPr>
      <t>(in EUR)</t>
    </r>
  </si>
  <si>
    <r>
      <t xml:space="preserve">Travel Costs 
Calculated
</t>
    </r>
    <r>
      <rPr>
        <sz val="14"/>
        <rFont val="Arial Narrow"/>
        <family val="2"/>
      </rPr>
      <t>(in EUR)</t>
    </r>
  </si>
  <si>
    <r>
      <t xml:space="preserve">Costs of
Stay Calculated
</t>
    </r>
    <r>
      <rPr>
        <sz val="14"/>
        <rFont val="Arial Narrow"/>
        <family val="2"/>
      </rPr>
      <t>(in EUR)</t>
    </r>
  </si>
  <si>
    <r>
      <t xml:space="preserve">Total 
calculated
</t>
    </r>
    <r>
      <rPr>
        <sz val="14"/>
        <rFont val="Arial Narrow"/>
        <family val="2"/>
      </rPr>
      <t>(in EUR)</t>
    </r>
  </si>
  <si>
    <r>
      <t xml:space="preserve">Average
Exchange 
Rate Used
</t>
    </r>
    <r>
      <rPr>
        <sz val="14"/>
        <rFont val="Arial Narrow"/>
        <family val="2"/>
      </rPr>
      <t>(to encode in Exchange Rates sheet)</t>
    </r>
  </si>
  <si>
    <t>Option</t>
  </si>
  <si>
    <t>Usual Practices</t>
  </si>
  <si>
    <r>
      <t xml:space="preserve">Usual Practices
Exchange 
Rate Used
</t>
    </r>
    <r>
      <rPr>
        <sz val="14"/>
        <rFont val="Arial Narrow"/>
        <family val="2"/>
      </rPr>
      <t>(Encode 0 if option Average is selected)</t>
    </r>
  </si>
  <si>
    <r>
      <t xml:space="preserve">Amount
</t>
    </r>
    <r>
      <rPr>
        <sz val="14"/>
        <rFont val="Arial Narrow"/>
        <family val="2"/>
      </rPr>
      <t>(in EUR)</t>
    </r>
  </si>
  <si>
    <r>
      <t xml:space="preserve">Total amount charged to the project in </t>
    </r>
    <r>
      <rPr>
        <b/>
        <u/>
        <sz val="14"/>
        <rFont val="Arial Narrow"/>
        <family val="2"/>
      </rPr>
      <t>currency</t>
    </r>
  </si>
  <si>
    <r>
      <t xml:space="preserve">Total amount charged to the project in 
</t>
    </r>
    <r>
      <rPr>
        <b/>
        <u/>
        <sz val="14"/>
        <rFont val="Arial Narrow"/>
        <family val="2"/>
      </rPr>
      <t>euro</t>
    </r>
  </si>
  <si>
    <t>1st Prefinancing paid (in EUR) 50% of Grant Awarded</t>
  </si>
  <si>
    <t>70% of 1st Prefinancing (in EUR)</t>
  </si>
  <si>
    <t>Budget Spent (in EUR)</t>
  </si>
  <si>
    <t xml:space="preserve">Unspent budget on 1st Prefinancing (in EUR) </t>
  </si>
  <si>
    <t xml:space="preserve">40% of Grant Awarded (in EUR) </t>
  </si>
  <si>
    <t>2nd Prefinancing to be paid (in EUR) less unspent budget on 1st Prefinancing (if any)</t>
  </si>
  <si>
    <t>- Amount indicated on the invoice in currency (Excluding VAT and Taxes). Please encode the amount indicated on the invoice without including the amount of VAT and/or other taxes.</t>
  </si>
  <si>
    <t>- Amount of VAT and/or other Taxes in currency. This amount must encoded only if charged to the project.</t>
  </si>
  <si>
    <r>
      <t xml:space="preserve">Amount indicated on the invoice 
</t>
    </r>
    <r>
      <rPr>
        <b/>
        <u/>
        <sz val="14"/>
        <rFont val="Arial Narrow"/>
        <family val="2"/>
      </rPr>
      <t xml:space="preserve">in currency
</t>
    </r>
    <r>
      <rPr>
        <sz val="14"/>
        <rFont val="Arial Narrow"/>
        <family val="2"/>
      </rPr>
      <t>(Excluding VAT and Taxes)</t>
    </r>
  </si>
  <si>
    <r>
      <t xml:space="preserve">Amount of VAT and Taxes 
</t>
    </r>
    <r>
      <rPr>
        <b/>
        <u/>
        <sz val="14"/>
        <rFont val="Arial Narrow"/>
        <family val="2"/>
      </rPr>
      <t>in currency</t>
    </r>
    <r>
      <rPr>
        <b/>
        <sz val="14"/>
        <rFont val="Arial Narrow"/>
        <family val="2"/>
      </rPr>
      <t xml:space="preserve"> 
</t>
    </r>
    <r>
      <rPr>
        <sz val="14"/>
        <rFont val="Arial Narrow"/>
        <family val="2"/>
      </rPr>
      <t>(to be indicated only if this amount is charged to the project)</t>
    </r>
  </si>
  <si>
    <r>
      <t xml:space="preserve">Amount indicated on the invoice 
</t>
    </r>
    <r>
      <rPr>
        <b/>
        <u/>
        <sz val="14"/>
        <rFont val="Arial Narrow"/>
        <family val="2"/>
      </rPr>
      <t>in currency</t>
    </r>
    <r>
      <rPr>
        <b/>
        <sz val="14"/>
        <rFont val="Arial Narrow"/>
        <family val="2"/>
      </rPr>
      <t xml:space="preserve">
</t>
    </r>
    <r>
      <rPr>
        <sz val="14"/>
        <rFont val="Arial Narrow"/>
        <family val="2"/>
      </rPr>
      <t>(Excluding VAT and Taxes)</t>
    </r>
  </si>
  <si>
    <t>- Average Exchange Rate Used (to encode in Exchange Rates sheet). If option "Average" has been selected, the rate will be indicated according to average indicated for this currency in the sheet "Exchange Rates".</t>
  </si>
  <si>
    <t>- Total amount charged to the project in currency (sum of columns K and L).</t>
  </si>
  <si>
    <r>
      <t xml:space="preserve">Please note that if one or more data/information to be filled in the blue coloured cells is missing, an </t>
    </r>
    <r>
      <rPr>
        <b/>
        <u/>
        <sz val="10"/>
        <rFont val="Arial"/>
        <family val="2"/>
      </rPr>
      <t>error message</t>
    </r>
    <r>
      <rPr>
        <sz val="10"/>
        <rFont val="Arial"/>
        <family val="2"/>
      </rPr>
      <t xml:space="preserve"> will appear in red in the last column.</t>
    </r>
  </si>
  <si>
    <t xml:space="preserve">- Total amount charged to the project in euro is the conversion of the total amount charged to the project in currency according to the option chosen for the exchange rate. </t>
  </si>
  <si>
    <t>- No. of the partner benefitting from the equipment or No. of the partner who paid the subcontracting (to be chosen via a "drop down menu")</t>
  </si>
  <si>
    <t>4. EQUIPMENT COSTS / 5. SUBCONTRACTING COSTS</t>
  </si>
  <si>
    <r>
      <t>This Excel file (</t>
    </r>
    <r>
      <rPr>
        <b/>
        <sz val="10"/>
        <rFont val="Arial"/>
        <family val="2"/>
      </rPr>
      <t>CBHE 2019 - ANNEX VI - FINANCIAL STATEMENTS</t>
    </r>
    <r>
      <rPr>
        <sz val="10"/>
        <rFont val="Arial"/>
        <family val="2"/>
      </rPr>
      <t xml:space="preserve">) is a tool that has to be used for:
</t>
    </r>
  </si>
  <si>
    <r>
      <t xml:space="preserve">Please note that this sheet is automatically filled in and updated with the information encoded in the sheet "Final financial statement" and with expenses declared in the "individual financial tables". For the 2nd prefinancing and in accordance with the Article I.4.2 of the Grant Agreement, the Agency will pay 40% of the grant awarded less unspent budget on the 1st prefinancing (only if the actual budget spent is below 70% of the 1st prefinancing when requesting the 2nd prefinancing).
Please note that the amount of the second prefinancing is automatically calculated by the system (see sheet "Use of 1st Prefin &amp; 2nd Prefin").
</t>
    </r>
    <r>
      <rPr>
        <u/>
        <sz val="10"/>
        <rFont val="Arial"/>
        <family val="2"/>
      </rPr>
      <t>Example</t>
    </r>
    <r>
      <rPr>
        <sz val="10"/>
        <rFont val="Arial"/>
        <family val="2"/>
      </rPr>
      <t xml:space="preserve">: 
- Amount of the Grant Awarded: EUR 1.000.000
- 1st Prefinancing paid after signature of contract (50% of the Grant Awarded): EUR 500.000
- 70% of the 1st prefinancing: EUR 350.000
- If the actual budget spent is EUR 280.000 when requesting the 2nd prefinancing payment, the Agency will pay a 2nd prefinancing of </t>
    </r>
    <r>
      <rPr>
        <b/>
        <sz val="10"/>
        <rFont val="Arial"/>
        <family val="2"/>
      </rPr>
      <t xml:space="preserve">EUR 330.000 </t>
    </r>
    <r>
      <rPr>
        <sz val="10"/>
        <rFont val="Arial"/>
        <family val="2"/>
      </rPr>
      <t xml:space="preserve">(40% of the Grant Awarded EUR 400.000 less unspent budget on 1st prefinancing EUR 70.000).
- If the actual budget spent is EUR 370.000 when requesting the 2nd prefinancing payment, the Agency will pay the 2nd prefinancing of </t>
    </r>
    <r>
      <rPr>
        <b/>
        <sz val="10"/>
        <rFont val="Arial"/>
        <family val="2"/>
      </rPr>
      <t xml:space="preserve">EUR 400.000 </t>
    </r>
    <r>
      <rPr>
        <sz val="10"/>
        <rFont val="Arial"/>
        <family val="2"/>
      </rPr>
      <t>(40% of the Grant Awarded).</t>
    </r>
  </si>
  <si>
    <t>Currency (ISO Code)</t>
  </si>
  <si>
    <t>Beneficiaries and affiliated entities with general accounts in euros
(see Article I.4.6 of Grant Agreement)</t>
  </si>
  <si>
    <r>
      <t xml:space="preserve">Beneficiaries and affiliated entities with general accounts </t>
    </r>
    <r>
      <rPr>
        <b/>
        <u/>
        <sz val="11"/>
        <color theme="1"/>
        <rFont val="Calibri"/>
        <family val="2"/>
        <scheme val="minor"/>
      </rPr>
      <t>NOT</t>
    </r>
    <r>
      <rPr>
        <b/>
        <sz val="11"/>
        <color theme="1"/>
        <rFont val="Calibri"/>
        <family val="2"/>
        <scheme val="minor"/>
      </rPr>
      <t xml:space="preserve"> in euros
(see Article I.4.6 of Grant Agreement)</t>
    </r>
  </si>
  <si>
    <r>
      <t xml:space="preserve">Must convert costs incurred in another currency into euros using </t>
    </r>
    <r>
      <rPr>
        <u/>
        <sz val="11"/>
        <color theme="1"/>
        <rFont val="Calibri"/>
        <family val="2"/>
        <scheme val="minor"/>
      </rPr>
      <t>an average</t>
    </r>
    <r>
      <rPr>
        <sz val="11"/>
        <color theme="1"/>
        <rFont val="Calibri"/>
        <family val="2"/>
        <scheme val="minor"/>
      </rPr>
      <t>.</t>
    </r>
  </si>
  <si>
    <t>- If option "Average" has been selected, the currency indicated on the invoice and the average must be encoded in the sheet "Exchange Rates". 
- If option "Usual Practices" has been selected, the currency indicated on the invoice must be encoded in the sheet "Exchange Rates" and the exchange rate directly in the column "Usual Practices Exchange Rate used" of the line of expenses concerned.</t>
  </si>
  <si>
    <t>HOW TO CALCULATE AVERAGE ON ECB</t>
  </si>
  <si>
    <t>- To calculate the average, please see "Exchange Rates" sheet.</t>
  </si>
  <si>
    <t>HOW TO CALCULATE AVERAGE ON INFOREURO</t>
  </si>
  <si>
    <t>1. Click on the button "European Central Bank" above.</t>
  </si>
  <si>
    <t>2. On the website, click on the currency concerned.</t>
  </si>
  <si>
    <t>3. Encode the period from/to (top of the page).</t>
  </si>
  <si>
    <t>1. Click on the button "Inforeuro" above.</t>
  </si>
  <si>
    <t>2. On the website, click on the "List of currencies".</t>
  </si>
  <si>
    <t>3. Click on the currency concerned.</t>
  </si>
  <si>
    <t>4. Click on arrow "Download in table format" and open the file in Excel.</t>
  </si>
  <si>
    <t>5. Encode the currency in the column "Currency (ISO Code)" and the average in the column "Average".</t>
  </si>
  <si>
    <t>4. The average is automatically displayed (top of the page).</t>
  </si>
  <si>
    <t>5. Select the exchange rates for the period concerned, the average is automatically dispalyed in Excel.</t>
  </si>
  <si>
    <t>6. Encode the currency in the column "Currency (ISO Code)" and the average in the column "Average".</t>
  </si>
  <si>
    <t>- Select option for conversion (Average or Usual Practices). Depending of the case (see Article I.4.6 of Grant Agreement), please indicate how the conversion has been made (Average or Usual Practices). The average must be encoded in the "Exchange Rates" sheet for each currency whereas the exchange rate for "Usual Practices" must be encoded for each line of expenses (field "Usual Practices Exchange Rate Used") in "Equipment Costs" or "Subcontracting Costs" sheet.</t>
  </si>
  <si>
    <t>- Usual Practices Exchange Rate Used (to encode only if option "Usual Practices" has been selected). If option "Average" has been selected, the exchange rate must be encoded in the sheet "Exchange rate" for each currency.</t>
  </si>
  <si>
    <t>- Currency indicated on the invoice. The currency must be first encoded in the Exchange Rates sheet and then be chosen via a "drop down menu" in the sheet "Equipment Costs" or "Subcontracting Costs" when encoding the line of expenses.</t>
  </si>
  <si>
    <r>
      <t xml:space="preserve">Must convert costs incurred in another currency into euros in accordance with their </t>
    </r>
    <r>
      <rPr>
        <u/>
        <sz val="11"/>
        <color theme="1"/>
        <rFont val="Calibri"/>
        <family val="2"/>
        <scheme val="minor"/>
      </rPr>
      <t>usual accounting practices</t>
    </r>
    <r>
      <rPr>
        <sz val="11"/>
        <color theme="1"/>
        <rFont val="Calibri"/>
        <family val="2"/>
        <scheme val="minor"/>
      </rPr>
      <t>.</t>
    </r>
  </si>
  <si>
    <t>610456-EPP-1-2019-1-FR-EPPKA2-CBHE-JP</t>
  </si>
  <si>
    <t>Université de Paris</t>
  </si>
  <si>
    <t>Universidad Industrial de Santander</t>
  </si>
  <si>
    <t>Universidad Antonio Narino</t>
  </si>
  <si>
    <t>Universidad San Francisco de Quito</t>
  </si>
  <si>
    <t>Universidadde Investigacionde Tecnologia Experimental YACHAY</t>
  </si>
  <si>
    <t>Universidad Nacional Mayor de San Marcos</t>
  </si>
  <si>
    <t>Universidad Nacional de Ingenieria</t>
  </si>
  <si>
    <t>Universidad Central de Venezuela</t>
  </si>
  <si>
    <t>Universidad Simon Bolivar</t>
  </si>
  <si>
    <t>Université Paul Sabatier Toulouse III</t>
  </si>
  <si>
    <t>Technische Universität Dresden</t>
  </si>
  <si>
    <t>Jorge Stephany</t>
  </si>
  <si>
    <t>Andrea Grijalva</t>
  </si>
  <si>
    <t>José Ocariz</t>
  </si>
  <si>
    <t>Luis Nunez</t>
  </si>
  <si>
    <t>Carlos Sandoval</t>
  </si>
  <si>
    <t>Dennis Cazar</t>
  </si>
  <si>
    <t>Ernesto Medina</t>
  </si>
  <si>
    <t>Teofilo Vargas</t>
  </si>
  <si>
    <t>Javier Solano</t>
  </si>
  <si>
    <t>José Antonio Lopez</t>
  </si>
  <si>
    <t>Pierre Pujol</t>
  </si>
  <si>
    <t>Table A/P results</t>
  </si>
  <si>
    <t>WP1, activity T1.1</t>
  </si>
  <si>
    <t>Partnership Agreement</t>
  </si>
  <si>
    <t>Gabriela Navarro</t>
  </si>
  <si>
    <t>Harold Yépez</t>
  </si>
  <si>
    <t>Mario Cosenza</t>
  </si>
  <si>
    <t>Table A/P results WP2</t>
  </si>
  <si>
    <t>Table A/P results WP3</t>
  </si>
  <si>
    <t>Juan Carlos Basto</t>
  </si>
  <si>
    <t>Jesus Rodriguez</t>
  </si>
  <si>
    <t>Joany Manjarres</t>
  </si>
  <si>
    <t>Reina Camacho</t>
  </si>
  <si>
    <t>WP1, activity T1.1 / T1.2</t>
  </si>
  <si>
    <t>WP1, activity T1.2</t>
  </si>
  <si>
    <t xml:space="preserve">Coordinated WP1 via centralization of information and edition of explorative surveys for every partner </t>
  </si>
  <si>
    <t>Thomas Gunther</t>
  </si>
  <si>
    <t>WP2, activity T2.1</t>
  </si>
  <si>
    <t>WP2, activity T2.1, T2.2, T2.3</t>
  </si>
  <si>
    <t>WP2, activity T2.1,T2.2</t>
  </si>
  <si>
    <t>WP3, activity T3.1, T3.2, T3.3,T3.4,T3,5 T3.6</t>
  </si>
  <si>
    <t>WP4, activity T4.1, T4.2,T4.3,T4.5,T4.6</t>
  </si>
  <si>
    <t>WP4, activity T4.1,T4.2,T4.3,T4.4,T4.5</t>
  </si>
  <si>
    <t>WP5, activity from T5.1 to T5.11</t>
  </si>
  <si>
    <t>WP5, activity T5.2,T5.3,T5.4,T5.6,T5.7,T5.11</t>
  </si>
  <si>
    <t>WP5, activity T5.2,T5.3,T5.4,T5.6,T5.7,T5.8, T.59, T5.11</t>
  </si>
  <si>
    <t>Alexander Martinez</t>
  </si>
  <si>
    <t>WP5, activity T5.3,T5.4,T5.6,T5.7,T5.11</t>
  </si>
  <si>
    <t>WP6, activity from T6.1 to T6.8</t>
  </si>
  <si>
    <t>WP6, activity T6.1,T6.3</t>
  </si>
  <si>
    <t>Summary of revised curricula, methodology, equipment in P1 - achieved through surveys and internal HEI research</t>
  </si>
  <si>
    <t>Summary of revised curricula, methodology, equipment in P2 /  T1.2 - achieved through survey and internal HEI research</t>
  </si>
  <si>
    <t>Summary of revised curricula, methodology,equipment in P3 - achieved through survey and internal HEI research</t>
  </si>
  <si>
    <t>Summary of revised curricula, methodology, equipment in P3 - achieved through survey and internal HEI research</t>
  </si>
  <si>
    <t>Summary of revised curricula, methodology, equiment in P4 - achieved through survey and internal HEI research</t>
  </si>
  <si>
    <t>Summary of revised curricula, methodology, equiment in P5 - achievedthrough survey and internal HEI research</t>
  </si>
  <si>
    <t>Summary of revised curricula, methodology, equiment in P7 - achieved through survey and internal HEI research</t>
  </si>
  <si>
    <t>Summary of revised curricula, methodology, equiment in P8 - acchieved through survey and internal HEI research</t>
  </si>
  <si>
    <t>Summary of revised curricula, methodology, equiment in P9 - achieved through survey and internal HEI research</t>
  </si>
  <si>
    <t>Installation of tools - achieved through the creation of the e-learning platform and installation of two types of purchased equipment for remote lab access</t>
  </si>
  <si>
    <t>Equipments purchase process and installation of tools - achieved through the creation of the e-learning platform and installation of two types of purchased equipment for remote lab access</t>
  </si>
  <si>
    <t>Coordinated the identification and installation of tools process - achieved through the creation of the e-learning platform and installation of two types of purchased equipment for remote lab access</t>
  </si>
  <si>
    <t>Orgnization of technical training for staff and technical groups/ design and definition of curricula- creation of EAC/organisation of data/Monitoring students internships/regular update of the e-learning platform</t>
  </si>
  <si>
    <t>Coordinating the orgnization of technical training for staff and technical groups/ design and definition of curricula- creation of EAC/organisation of data/Monitoring students internships/regular update of the e-learning platform</t>
  </si>
  <si>
    <t>Design and definition of curricula/organisation of data/Monitoring students internships/regular update of the e-learning platform</t>
  </si>
  <si>
    <t>Design and definition of curricula/organisation of data/regular update of the e-learning platform</t>
  </si>
  <si>
    <t>Development of settings of evaluation/Internal quality assurance through surveys/external quality assurance for students and staff</t>
  </si>
  <si>
    <t>WP4, activity from T4.1 toT4.6</t>
  </si>
  <si>
    <t>Coordination of the development of settings of evaluation/Internal quality assurance through surveys/external quality assurance for students and staff/assessment of dissemination activities in WP5</t>
  </si>
  <si>
    <t>Internal and external dissemination using diverse communication tools. Achieved through participation to major scientific and academic events. Development of data management protection plan, citizen science project</t>
  </si>
  <si>
    <t>Internal and external dissemination using diverse communication tools. Achieved through participation to major scientific and academic events. Development of data management protection plan, citizen science project, development of code of conduct</t>
  </si>
  <si>
    <t>General project dissemination through participation in major scientific high education events, project development website, data management protection plan</t>
  </si>
  <si>
    <t>Coordination of the development of the communication and dissemination plan, set-up of the project website, promotion and organisation of data challenges, internal dissemination of results, external consortium results dissemination to peers, development of citizen science project, sustainability prospection, gender equality promotion, data management protection plan</t>
  </si>
  <si>
    <t>Project Diversity Officer, creation and development of the project Diversity Plan, Internal and external dissemination using diverse communication tools</t>
  </si>
  <si>
    <t>Coordinate the consortium agreement preparation, financial administration, guarantee transparent and fluent information, research and training activities to respect the established calendar, risk monitoring management, communication with different peers</t>
  </si>
  <si>
    <t>Coordinate the consortium agreement preparation, financial administration - transfers, purchase procedures, guarantee transparent and fluent information, research and training activities to respect the established calendar, risk monitoring management, communication with different peers</t>
  </si>
  <si>
    <t>Support the consortium agreement preparation</t>
  </si>
  <si>
    <t xml:space="preserve">Equipments purchase process and installation of tools - achieved through the creation of the e-learning platform </t>
  </si>
  <si>
    <t>EUR</t>
  </si>
  <si>
    <t>Educational kit premium version (SP5600AN) , EASY PET KIT (SP5701) , Emulation Kit (SP5600EMU)</t>
  </si>
  <si>
    <t xml:space="preserve">Educational kit premium version (SP5600AN) , EASY PET KIT (SP5701) </t>
  </si>
  <si>
    <t>Educational kit premium version (SP5600AN)</t>
  </si>
  <si>
    <t>Nephix/DELL provider</t>
  </si>
  <si>
    <t xml:space="preserve"> Dell Precision
3440 - Core i5</t>
  </si>
  <si>
    <t>USD</t>
  </si>
  <si>
    <t xml:space="preserve"> Dell Precision3440 - Core i5</t>
  </si>
  <si>
    <t>ELVIS III educational platform</t>
  </si>
  <si>
    <t>Electroequipos</t>
  </si>
  <si>
    <t>Profesional consulting team / project communication strategy</t>
  </si>
  <si>
    <t>Ysabel Cristina Briceno Romero</t>
  </si>
  <si>
    <t>COP</t>
  </si>
  <si>
    <t>Development of the e-learning platform</t>
  </si>
  <si>
    <t>Development of the e-learning platform and remote labs</t>
  </si>
  <si>
    <t>Jesus Pena Rodriguez</t>
  </si>
  <si>
    <t>Summary of previous partnership vith CEVALE2V project</t>
  </si>
  <si>
    <t>Table of A/P results WP2</t>
  </si>
  <si>
    <t>Table oA/P results WP2</t>
  </si>
  <si>
    <t xml:space="preserve">Equipments purchase process and installation of tools - achieved through the creation of the e-learning platform and installation of two types of purchased </t>
  </si>
  <si>
    <t>Table A/P resultts WP3</t>
  </si>
  <si>
    <t>Orgnization of technical training for staff and technical groups/organisation of data/Regular update of the e-learning platform</t>
  </si>
  <si>
    <t>Internal and external dissemination using diverse communication tools. Achieved through participation to major scientific and academic events. Development of Diversity Plan, Data management protection plan, citizen science project</t>
  </si>
  <si>
    <t>Public tender notification 2021FOSCIRE020</t>
  </si>
  <si>
    <t>Payment order 4500032120/ Invoice NPX400</t>
  </si>
  <si>
    <t>Payment order 4500032128 / Invoice NPX401</t>
  </si>
  <si>
    <t>Payment order 4500040026/ Invoice 6852</t>
  </si>
  <si>
    <t>Payment order 4500038378/ Invoice 6857</t>
  </si>
  <si>
    <t>Payment order 4500038336 / Invoice 001001-000017293</t>
  </si>
  <si>
    <t>Payment order 4500040012 / Invoice 001001-000017486</t>
  </si>
  <si>
    <t>Payment order 450037600 / Invoice F001 - 00001365</t>
  </si>
  <si>
    <t>Payment order 450037607 / Invoice F001 - 00001364</t>
  </si>
  <si>
    <t>Payment order 4500037997/ Invoice EB01-19</t>
  </si>
  <si>
    <t>CAEN/ Innovdata</t>
  </si>
  <si>
    <t>INDUCONTROL INGENIERIA</t>
  </si>
  <si>
    <t>JEVANSA/ DELL provider</t>
  </si>
  <si>
    <t>Dinforsysmega S.A/ DELL provider</t>
  </si>
  <si>
    <t>Official contract / payment order 4500048691</t>
  </si>
  <si>
    <t>Contract number 2021000605</t>
  </si>
  <si>
    <t>Offical contract edited by P2</t>
  </si>
  <si>
    <t>Official contract edited by P2</t>
  </si>
  <si>
    <t>institution's own resources and affiliated entity's resources</t>
  </si>
  <si>
    <t>Budget administrative support</t>
  </si>
  <si>
    <t>administrative support</t>
  </si>
  <si>
    <t>Technical support for the instrumentation labs</t>
  </si>
  <si>
    <t>need to work with computer equipment and a good connection</t>
  </si>
  <si>
    <t xml:space="preserve">FR76 1007 1750 0000 0010 0770 454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</si>
</sst>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 #,##0.00_ ;_ * \-#,##0.00_ ;_ * &quot;-&quot;??_ ;_ @_ "/>
    <numFmt numFmtId="165" formatCode="#,##0_ ;\-#,##0\ "/>
    <numFmt numFmtId="166" formatCode="#,##0.00_ ;\-#,##0.00\ "/>
    <numFmt numFmtId="167" formatCode="d/mm/yy;@"/>
    <numFmt numFmtId="168" formatCode="dd/mm/yy;@"/>
    <numFmt numFmtId="169" formatCode="#,##0.0000000"/>
  </numFmts>
  <fonts count="38"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b/>
      <sz val="11"/>
      <color theme="1"/>
      <name val="Calibri"/>
      <family val="2"/>
      <scheme val="minor"/>
    </font>
    <font>
      <sz val="14"/>
      <color rgb="FFFF0000"/>
      <name val="Arial Narrow"/>
      <family val="2"/>
    </font>
    <font>
      <b/>
      <sz val="14"/>
      <color rgb="FFFF0000"/>
      <name val="Arial Narrow"/>
      <family val="2"/>
    </font>
    <font>
      <b/>
      <sz val="14"/>
      <color theme="1"/>
      <name val="Arial Narrow"/>
      <family val="2"/>
    </font>
    <font>
      <b/>
      <sz val="18"/>
      <name val="Arial Narrow"/>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i/>
      <sz val="14"/>
      <name val="Arial Narrow"/>
      <family val="2"/>
    </font>
    <font>
      <sz val="9"/>
      <name val="Arial Narrow"/>
      <family val="2"/>
    </font>
    <font>
      <b/>
      <sz val="9"/>
      <name val="Arial Narrow"/>
      <family val="2"/>
    </font>
    <font>
      <b/>
      <sz val="14"/>
      <name val="Arial"/>
      <family val="2"/>
    </font>
    <font>
      <b/>
      <u/>
      <sz val="10"/>
      <name val="Arial"/>
      <family val="2"/>
    </font>
    <font>
      <b/>
      <sz val="10"/>
      <name val="Arial"/>
      <family val="2"/>
    </font>
    <font>
      <i/>
      <sz val="10"/>
      <name val="Arial"/>
      <family val="2"/>
    </font>
    <font>
      <b/>
      <sz val="10"/>
      <name val="Calibri"/>
      <family val="2"/>
    </font>
    <font>
      <sz val="10"/>
      <color theme="1"/>
      <name val="Arial"/>
      <family val="2"/>
    </font>
    <font>
      <b/>
      <sz val="10"/>
      <color theme="1"/>
      <name val="Arial"/>
      <family val="2"/>
    </font>
    <font>
      <b/>
      <sz val="18"/>
      <color rgb="FFFF0000"/>
      <name val="Arial Narrow"/>
      <family val="2"/>
    </font>
    <font>
      <b/>
      <u/>
      <sz val="14"/>
      <color theme="1"/>
      <name val="Arial Narrow"/>
      <family val="2"/>
    </font>
    <font>
      <sz val="14"/>
      <color theme="0"/>
      <name val="Arial Narrow"/>
      <family val="2"/>
    </font>
    <font>
      <b/>
      <sz val="14"/>
      <color theme="0"/>
      <name val="Arial Narrow"/>
      <family val="2"/>
    </font>
    <font>
      <u/>
      <sz val="14"/>
      <name val="Arial Narrow"/>
      <family val="2"/>
    </font>
    <font>
      <b/>
      <sz val="12"/>
      <color rgb="FFFF0000"/>
      <name val="Calibri"/>
      <family val="2"/>
    </font>
    <font>
      <u/>
      <sz val="10"/>
      <name val="Arial"/>
      <family val="2"/>
    </font>
    <font>
      <b/>
      <u/>
      <sz val="11"/>
      <color theme="1"/>
      <name val="Calibri"/>
      <family val="2"/>
      <scheme val="minor"/>
    </font>
    <font>
      <u/>
      <sz val="11"/>
      <color theme="1"/>
      <name val="Calibri"/>
      <family val="2"/>
      <scheme val="minor"/>
    </font>
    <font>
      <b/>
      <i/>
      <sz val="10"/>
      <name val="Arial"/>
      <family val="2"/>
    </font>
  </fonts>
  <fills count="15">
    <fill>
      <patternFill patternType="none"/>
    </fill>
    <fill>
      <patternFill patternType="gray125"/>
    </fill>
    <fill>
      <patternFill patternType="solid">
        <fgColor theme="0" tint="-0.14999847407452621"/>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00B0F0"/>
        <bgColor indexed="64"/>
      </patternFill>
    </fill>
    <fill>
      <patternFill patternType="solid">
        <fgColor theme="2" tint="-0.499984740745262"/>
        <bgColor indexed="64"/>
      </patternFill>
    </fill>
    <fill>
      <patternFill patternType="solid">
        <fgColor theme="3" tint="0.79998168889431442"/>
        <bgColor indexed="64"/>
      </patternFill>
    </fill>
    <fill>
      <patternFill patternType="solid">
        <fgColor theme="0"/>
        <bgColor indexed="64"/>
      </patternFill>
    </fill>
    <fill>
      <patternFill patternType="solid">
        <fgColor rgb="FF00B05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FF0000"/>
      </left>
      <right style="thin">
        <color rgb="FFFF0000"/>
      </right>
      <top/>
      <bottom style="thin">
        <color rgb="FFFF0000"/>
      </bottom>
      <diagonal/>
    </border>
    <border>
      <left style="thin">
        <color rgb="FFFF0000"/>
      </left>
      <right style="thin">
        <color rgb="FFFF0000"/>
      </right>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right/>
      <top/>
      <bottom style="thin">
        <color theme="1"/>
      </bottom>
      <diagonal/>
    </border>
    <border>
      <left/>
      <right style="thin">
        <color rgb="FFFF0000"/>
      </right>
      <top/>
      <bottom/>
      <diagonal/>
    </border>
    <border>
      <left style="thin">
        <color rgb="FFFF0000"/>
      </left>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rgb="FFFF0000"/>
      </left>
      <right style="thin">
        <color rgb="FFFF0000"/>
      </right>
      <top style="thin">
        <color rgb="FFFF0000"/>
      </top>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5" fillId="0" borderId="0" applyNumberFormat="0" applyFill="0" applyBorder="0" applyAlignment="0" applyProtection="0"/>
  </cellStyleXfs>
  <cellXfs count="355">
    <xf numFmtId="0" fontId="0" fillId="0" borderId="0" xfId="0"/>
    <xf numFmtId="0" fontId="0" fillId="0" borderId="0" xfId="0" applyFont="1" applyProtection="1"/>
    <xf numFmtId="0" fontId="0" fillId="0" borderId="1" xfId="0" applyFont="1" applyBorder="1" applyProtection="1"/>
    <xf numFmtId="0" fontId="0" fillId="0" borderId="0" xfId="0" applyFont="1" applyBorder="1" applyProtection="1"/>
    <xf numFmtId="0" fontId="0" fillId="0" borderId="0" xfId="0" applyFont="1" applyFill="1" applyBorder="1" applyProtection="1"/>
    <xf numFmtId="0" fontId="4" fillId="0" borderId="0" xfId="0" applyFont="1" applyFill="1" applyBorder="1" applyAlignment="1" applyProtection="1"/>
    <xf numFmtId="0" fontId="7" fillId="0" borderId="0" xfId="0" applyFont="1" applyFill="1" applyBorder="1" applyAlignment="1" applyProtection="1">
      <alignment vertical="center"/>
    </xf>
    <xf numFmtId="0" fontId="4" fillId="0" borderId="0" xfId="0" applyFont="1" applyAlignment="1" applyProtection="1"/>
    <xf numFmtId="0" fontId="5" fillId="0" borderId="0" xfId="0" applyFont="1" applyFill="1" applyBorder="1" applyAlignment="1" applyProtection="1"/>
    <xf numFmtId="0" fontId="5" fillId="0" borderId="3" xfId="0" applyFont="1" applyFill="1" applyBorder="1" applyAlignment="1" applyProtection="1"/>
    <xf numFmtId="0" fontId="5" fillId="0" borderId="6" xfId="0" applyFont="1" applyFill="1" applyBorder="1" applyAlignment="1" applyProtection="1"/>
    <xf numFmtId="0" fontId="5" fillId="0" borderId="1" xfId="0" applyNumberFormat="1" applyFont="1" applyFill="1" applyBorder="1" applyAlignment="1" applyProtection="1">
      <alignment horizontal="left" vertical="center"/>
    </xf>
    <xf numFmtId="0" fontId="4" fillId="0" borderId="3" xfId="0" applyFont="1" applyFill="1" applyBorder="1" applyAlignment="1" applyProtection="1"/>
    <xf numFmtId="0" fontId="4" fillId="0" borderId="6" xfId="0" applyFont="1" applyFill="1" applyBorder="1" applyAlignment="1" applyProtection="1"/>
    <xf numFmtId="0" fontId="4" fillId="0" borderId="7" xfId="0" applyFont="1" applyFill="1" applyBorder="1" applyAlignment="1" applyProtection="1"/>
    <xf numFmtId="0" fontId="4" fillId="0" borderId="5" xfId="0" applyFont="1" applyFill="1" applyBorder="1" applyAlignment="1" applyProtection="1"/>
    <xf numFmtId="0" fontId="4" fillId="0" borderId="9" xfId="0" applyFont="1" applyFill="1" applyBorder="1" applyAlignment="1" applyProtection="1"/>
    <xf numFmtId="0" fontId="5" fillId="0" borderId="9" xfId="0" applyFont="1" applyFill="1" applyBorder="1" applyAlignment="1" applyProtection="1"/>
    <xf numFmtId="0" fontId="5" fillId="0" borderId="7" xfId="0" applyFont="1" applyFill="1" applyBorder="1" applyAlignment="1" applyProtection="1"/>
    <xf numFmtId="0" fontId="5" fillId="0" borderId="5" xfId="0" applyFont="1" applyFill="1" applyBorder="1" applyAlignment="1" applyProtection="1"/>
    <xf numFmtId="0" fontId="14" fillId="0" borderId="0" xfId="0" applyFont="1" applyAlignment="1" applyProtection="1"/>
    <xf numFmtId="0" fontId="0" fillId="0" borderId="1" xfId="0" applyFont="1" applyBorder="1" applyAlignment="1" applyProtection="1">
      <alignment horizontal="left" vertical="center"/>
    </xf>
    <xf numFmtId="0" fontId="4" fillId="3" borderId="1" xfId="0" applyNumberFormat="1" applyFont="1" applyFill="1" applyBorder="1" applyAlignment="1" applyProtection="1">
      <alignment horizontal="center" vertical="center" wrapText="1"/>
      <protection locked="0"/>
    </xf>
    <xf numFmtId="0" fontId="5" fillId="0" borderId="1" xfId="0" applyFont="1" applyFill="1" applyBorder="1" applyAlignment="1" applyProtection="1">
      <alignment horizontal="center" vertical="center" wrapText="1"/>
    </xf>
    <xf numFmtId="0" fontId="4" fillId="0" borderId="0" xfId="0" applyFont="1" applyFill="1" applyBorder="1" applyAlignment="1" applyProtection="1">
      <alignment vertical="center" wrapText="1"/>
    </xf>
    <xf numFmtId="165" fontId="4" fillId="3" borderId="1"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left" vertical="center" wrapText="1"/>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6" fillId="2" borderId="1" xfId="0" applyFont="1" applyFill="1" applyBorder="1" applyAlignment="1" applyProtection="1">
      <alignment horizontal="center" vertical="center"/>
    </xf>
    <xf numFmtId="0" fontId="0" fillId="4" borderId="1" xfId="0" applyFont="1" applyFill="1" applyBorder="1" applyAlignment="1" applyProtection="1">
      <alignment horizontal="center" vertical="center"/>
    </xf>
    <xf numFmtId="0" fontId="0" fillId="4" borderId="1" xfId="0" applyFont="1" applyFill="1" applyBorder="1" applyProtection="1"/>
    <xf numFmtId="4" fontId="0" fillId="4" borderId="1" xfId="0" applyNumberFormat="1" applyFont="1" applyFill="1" applyBorder="1" applyProtection="1"/>
    <xf numFmtId="0" fontId="0" fillId="0" borderId="0" xfId="0" applyFont="1" applyFill="1" applyProtection="1"/>
    <xf numFmtId="0" fontId="0" fillId="5" borderId="1" xfId="0" applyFont="1" applyFill="1" applyBorder="1" applyAlignment="1" applyProtection="1">
      <alignment horizontal="center" vertical="center"/>
    </xf>
    <xf numFmtId="0" fontId="0" fillId="5" borderId="1" xfId="0" applyFont="1" applyFill="1" applyBorder="1" applyProtection="1"/>
    <xf numFmtId="4" fontId="0" fillId="5" borderId="1" xfId="0" applyNumberFormat="1" applyFont="1" applyFill="1" applyBorder="1" applyProtection="1"/>
    <xf numFmtId="0" fontId="0" fillId="6" borderId="1" xfId="0" applyFont="1" applyFill="1" applyBorder="1" applyAlignment="1" applyProtection="1">
      <alignment horizontal="center" vertical="center"/>
    </xf>
    <xf numFmtId="0" fontId="0" fillId="6" borderId="1" xfId="0" applyFont="1" applyFill="1" applyBorder="1" applyProtection="1"/>
    <xf numFmtId="4" fontId="0" fillId="6" borderId="1" xfId="0" applyNumberFormat="1" applyFont="1" applyFill="1" applyBorder="1" applyProtection="1"/>
    <xf numFmtId="0" fontId="0" fillId="7" borderId="1" xfId="0" applyFont="1" applyFill="1" applyBorder="1" applyAlignment="1" applyProtection="1">
      <alignment horizontal="center" vertical="center"/>
    </xf>
    <xf numFmtId="0" fontId="0" fillId="7" borderId="1" xfId="0" applyFont="1" applyFill="1" applyBorder="1" applyProtection="1"/>
    <xf numFmtId="4" fontId="0" fillId="7" borderId="1" xfId="0" applyNumberFormat="1" applyFont="1" applyFill="1" applyBorder="1" applyProtection="1"/>
    <xf numFmtId="0" fontId="0" fillId="8" borderId="1" xfId="0" applyFont="1" applyFill="1" applyBorder="1" applyAlignment="1" applyProtection="1">
      <alignment horizontal="center" vertical="center"/>
    </xf>
    <xf numFmtId="0" fontId="0" fillId="8" borderId="1" xfId="0" applyFont="1" applyFill="1" applyBorder="1" applyProtection="1"/>
    <xf numFmtId="4" fontId="0" fillId="8" borderId="1" xfId="0" applyNumberFormat="1" applyFont="1" applyFill="1" applyBorder="1" applyProtection="1"/>
    <xf numFmtId="0" fontId="0" fillId="9" borderId="1" xfId="0" applyFont="1" applyFill="1" applyBorder="1" applyAlignment="1" applyProtection="1">
      <alignment horizontal="center" vertical="center"/>
    </xf>
    <xf numFmtId="0" fontId="0" fillId="9" borderId="1" xfId="0" applyFont="1" applyFill="1" applyBorder="1" applyProtection="1"/>
    <xf numFmtId="4" fontId="0" fillId="9" borderId="1" xfId="0" applyNumberFormat="1" applyFont="1" applyFill="1" applyBorder="1" applyProtection="1"/>
    <xf numFmtId="0" fontId="0" fillId="10" borderId="1" xfId="0" applyFont="1" applyFill="1" applyBorder="1" applyAlignment="1" applyProtection="1">
      <alignment horizontal="center" vertical="center"/>
    </xf>
    <xf numFmtId="0" fontId="0" fillId="10" borderId="1" xfId="0" applyFont="1" applyFill="1" applyBorder="1" applyProtection="1"/>
    <xf numFmtId="4" fontId="0" fillId="10" borderId="1" xfId="0" applyNumberFormat="1" applyFont="1" applyFill="1" applyBorder="1" applyProtection="1"/>
    <xf numFmtId="0" fontId="0" fillId="11" borderId="1" xfId="0" applyFont="1" applyFill="1" applyBorder="1" applyAlignment="1" applyProtection="1">
      <alignment horizontal="center" vertical="center"/>
    </xf>
    <xf numFmtId="0" fontId="0" fillId="11" borderId="1" xfId="0" applyFont="1" applyFill="1" applyBorder="1" applyProtection="1"/>
    <xf numFmtId="4" fontId="0" fillId="11" borderId="1" xfId="0" applyNumberFormat="1" applyFont="1" applyFill="1" applyBorder="1" applyProtection="1"/>
    <xf numFmtId="0" fontId="4" fillId="0" borderId="1" xfId="0" applyNumberFormat="1" applyFont="1" applyFill="1" applyBorder="1" applyAlignment="1" applyProtection="1">
      <alignment horizontal="left" vertical="center" wrapText="1"/>
    </xf>
    <xf numFmtId="0" fontId="4" fillId="0" borderId="0" xfId="0" applyFont="1" applyFill="1" applyBorder="1" applyAlignment="1" applyProtection="1">
      <alignment wrapText="1"/>
    </xf>
    <xf numFmtId="0" fontId="4" fillId="0" borderId="0" xfId="0" applyFont="1" applyFill="1" applyBorder="1" applyAlignment="1" applyProtection="1">
      <alignment vertical="center"/>
    </xf>
    <xf numFmtId="0" fontId="8" fillId="0" borderId="0" xfId="0" applyFont="1" applyAlignment="1" applyProtection="1">
      <alignment vertical="center"/>
    </xf>
    <xf numFmtId="166" fontId="4" fillId="3" borderId="1" xfId="0" applyNumberFormat="1" applyFont="1" applyFill="1" applyBorder="1" applyAlignment="1" applyProtection="1">
      <alignment horizontal="right" vertical="center" wrapText="1" indent="1"/>
      <protection locked="0"/>
    </xf>
    <xf numFmtId="10" fontId="5" fillId="0" borderId="0" xfId="0" applyNumberFormat="1" applyFont="1" applyFill="1" applyBorder="1" applyAlignment="1" applyProtection="1">
      <alignment horizontal="center" vertical="center"/>
    </xf>
    <xf numFmtId="10" fontId="5" fillId="0" borderId="6" xfId="0" applyNumberFormat="1" applyFont="1" applyFill="1" applyBorder="1" applyAlignment="1" applyProtection="1">
      <alignment horizontal="center" vertical="center"/>
    </xf>
    <xf numFmtId="168" fontId="4" fillId="3" borderId="1" xfId="0" applyNumberFormat="1" applyFont="1" applyFill="1" applyBorder="1" applyAlignment="1" applyProtection="1">
      <alignment horizontal="center" vertical="center" wrapText="1"/>
      <protection locked="0"/>
    </xf>
    <xf numFmtId="0" fontId="6" fillId="2" borderId="1" xfId="0" applyFont="1" applyFill="1" applyBorder="1" applyAlignment="1" applyProtection="1">
      <alignment horizontal="center" vertical="center" wrapText="1"/>
    </xf>
    <xf numFmtId="0" fontId="5" fillId="2" borderId="10" xfId="2" applyFont="1" applyFill="1" applyBorder="1" applyAlignment="1" applyProtection="1">
      <alignment horizontal="center" vertical="center" wrapText="1"/>
    </xf>
    <xf numFmtId="0" fontId="8" fillId="0" borderId="5" xfId="0" applyFont="1" applyFill="1" applyBorder="1" applyAlignment="1" applyProtection="1">
      <alignment vertical="center"/>
    </xf>
    <xf numFmtId="0" fontId="4" fillId="0" borderId="0" xfId="0" applyFont="1" applyBorder="1" applyAlignment="1" applyProtection="1"/>
    <xf numFmtId="0" fontId="5" fillId="0" borderId="0" xfId="0" applyFont="1" applyAlignment="1" applyProtection="1"/>
    <xf numFmtId="0" fontId="5" fillId="0" borderId="0" xfId="0" applyFont="1" applyBorder="1" applyAlignment="1" applyProtection="1"/>
    <xf numFmtId="0" fontId="4" fillId="0" borderId="0" xfId="0" applyFont="1" applyBorder="1" applyAlignment="1" applyProtection="1">
      <alignment horizontal="center"/>
    </xf>
    <xf numFmtId="0" fontId="4" fillId="0" borderId="0" xfId="0" applyFont="1" applyFill="1" applyAlignment="1" applyProtection="1"/>
    <xf numFmtId="3" fontId="5" fillId="2" borderId="12"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vertical="center"/>
    </xf>
    <xf numFmtId="0" fontId="18" fillId="0" borderId="1" xfId="0" applyFont="1" applyBorder="1" applyAlignment="1" applyProtection="1">
      <alignment horizontal="center" vertical="center"/>
    </xf>
    <xf numFmtId="0" fontId="19" fillId="0" borderId="5" xfId="0" applyFont="1" applyBorder="1" applyProtection="1"/>
    <xf numFmtId="0" fontId="20" fillId="0" borderId="0" xfId="0" applyFont="1" applyBorder="1" applyAlignment="1" applyProtection="1"/>
    <xf numFmtId="0" fontId="4" fillId="0" borderId="0" xfId="0" applyFont="1" applyBorder="1" applyAlignment="1" applyProtection="1">
      <alignment vertical="center"/>
    </xf>
    <xf numFmtId="0" fontId="4" fillId="0" borderId="0" xfId="0" applyFont="1" applyBorder="1" applyProtection="1"/>
    <xf numFmtId="0" fontId="19" fillId="0" borderId="5" xfId="0" applyFont="1" applyFill="1" applyBorder="1" applyAlignment="1" applyProtection="1">
      <alignment vertical="center"/>
    </xf>
    <xf numFmtId="0" fontId="5" fillId="0" borderId="6" xfId="0" applyFont="1" applyBorder="1" applyAlignment="1" applyProtection="1">
      <alignment horizontal="center" vertical="center"/>
    </xf>
    <xf numFmtId="0" fontId="4" fillId="0" borderId="6" xfId="0" applyFont="1" applyBorder="1" applyAlignment="1" applyProtection="1">
      <alignment vertical="center"/>
    </xf>
    <xf numFmtId="0" fontId="5" fillId="0" borderId="6" xfId="0" applyFont="1" applyBorder="1" applyAlignment="1" applyProtection="1">
      <alignment horizontal="center"/>
    </xf>
    <xf numFmtId="167" fontId="4" fillId="0" borderId="6" xfId="0" applyNumberFormat="1" applyFont="1" applyFill="1" applyBorder="1" applyAlignment="1" applyProtection="1">
      <alignment horizontal="center" vertical="center"/>
    </xf>
    <xf numFmtId="0" fontId="4" fillId="0" borderId="6" xfId="0" applyFont="1" applyBorder="1" applyProtection="1"/>
    <xf numFmtId="0" fontId="19" fillId="0" borderId="0" xfId="0" applyFont="1" applyBorder="1" applyProtection="1"/>
    <xf numFmtId="0" fontId="5" fillId="0" borderId="0" xfId="0" applyFont="1" applyBorder="1" applyProtection="1"/>
    <xf numFmtId="0" fontId="19" fillId="0" borderId="0" xfId="0" applyFont="1" applyBorder="1" applyAlignment="1" applyProtection="1"/>
    <xf numFmtId="0" fontId="18" fillId="0" borderId="0" xfId="0" applyFont="1" applyBorder="1" applyAlignment="1" applyProtection="1">
      <alignment vertical="center"/>
    </xf>
    <xf numFmtId="0" fontId="19" fillId="0" borderId="5" xfId="0" applyFont="1" applyBorder="1" applyAlignment="1" applyProtection="1">
      <alignment vertical="center"/>
    </xf>
    <xf numFmtId="0" fontId="4" fillId="0" borderId="0" xfId="0" applyFont="1" applyFill="1" applyBorder="1" applyAlignment="1" applyProtection="1">
      <alignment horizontal="left"/>
    </xf>
    <xf numFmtId="164" fontId="4" fillId="0" borderId="1" xfId="1" applyNumberFormat="1" applyFont="1" applyFill="1" applyBorder="1" applyAlignment="1" applyProtection="1">
      <alignment horizontal="right" vertical="center" wrapText="1" indent="1"/>
    </xf>
    <xf numFmtId="4" fontId="4" fillId="0" borderId="1" xfId="0" applyNumberFormat="1" applyFont="1" applyFill="1" applyBorder="1" applyAlignment="1" applyProtection="1">
      <alignment horizontal="right" vertical="center" wrapText="1" indent="1"/>
    </xf>
    <xf numFmtId="4" fontId="4" fillId="0" borderId="1" xfId="1" applyNumberFormat="1" applyFont="1" applyFill="1" applyBorder="1" applyAlignment="1" applyProtection="1">
      <alignment horizontal="right" vertical="center" wrapText="1" indent="1"/>
    </xf>
    <xf numFmtId="49" fontId="3" fillId="0" borderId="0" xfId="3" applyNumberFormat="1" applyProtection="1"/>
    <xf numFmtId="49" fontId="3" fillId="0" borderId="4" xfId="3" applyNumberFormat="1" applyBorder="1" applyProtection="1"/>
    <xf numFmtId="49" fontId="21" fillId="0" borderId="15" xfId="3" applyNumberFormat="1" applyFont="1" applyFill="1" applyBorder="1" applyAlignment="1" applyProtection="1">
      <alignment horizontal="center" vertical="center"/>
    </xf>
    <xf numFmtId="49" fontId="3" fillId="0" borderId="8" xfId="3" applyNumberFormat="1" applyBorder="1" applyProtection="1"/>
    <xf numFmtId="49" fontId="3" fillId="0" borderId="0" xfId="3" applyNumberFormat="1" applyBorder="1" applyProtection="1"/>
    <xf numFmtId="49" fontId="3" fillId="0" borderId="5" xfId="3" applyNumberFormat="1" applyBorder="1" applyProtection="1"/>
    <xf numFmtId="49" fontId="3" fillId="0" borderId="0" xfId="3" applyNumberFormat="1" applyFont="1" applyBorder="1" applyAlignment="1" applyProtection="1">
      <alignment horizontal="justify" vertical="center" wrapText="1"/>
    </xf>
    <xf numFmtId="49" fontId="3" fillId="0" borderId="9" xfId="3" applyNumberFormat="1" applyBorder="1" applyProtection="1"/>
    <xf numFmtId="49" fontId="22" fillId="0" borderId="0" xfId="3" applyNumberFormat="1" applyFont="1" applyBorder="1" applyAlignment="1" applyProtection="1">
      <alignment horizontal="justify" vertical="center" wrapText="1"/>
    </xf>
    <xf numFmtId="49" fontId="3" fillId="0" borderId="3" xfId="3" applyNumberFormat="1" applyBorder="1" applyProtection="1"/>
    <xf numFmtId="49" fontId="3" fillId="0" borderId="6" xfId="3" applyNumberFormat="1" applyFont="1" applyBorder="1" applyAlignment="1" applyProtection="1">
      <alignment horizontal="justify" vertical="center" wrapText="1"/>
    </xf>
    <xf numFmtId="49" fontId="3" fillId="0" borderId="7" xfId="3" applyNumberFormat="1" applyBorder="1" applyProtection="1"/>
    <xf numFmtId="4" fontId="4" fillId="3" borderId="1" xfId="0" applyNumberFormat="1" applyFont="1" applyFill="1" applyBorder="1" applyAlignment="1" applyProtection="1">
      <alignment horizontal="right" vertical="center" wrapText="1" indent="1"/>
      <protection locked="0"/>
    </xf>
    <xf numFmtId="0" fontId="4" fillId="3" borderId="1" xfId="0" applyNumberFormat="1" applyFont="1" applyFill="1" applyBorder="1" applyAlignment="1" applyProtection="1">
      <alignment horizontal="left" vertical="center" wrapText="1" indent="1"/>
      <protection locked="0"/>
    </xf>
    <xf numFmtId="0" fontId="4" fillId="0" borderId="1" xfId="0" applyNumberFormat="1" applyFont="1" applyFill="1" applyBorder="1" applyAlignment="1" applyProtection="1">
      <alignment horizontal="left" vertical="center" wrapText="1" indent="1"/>
    </xf>
    <xf numFmtId="0" fontId="4" fillId="12" borderId="1" xfId="0" applyNumberFormat="1" applyFont="1" applyFill="1" applyBorder="1" applyAlignment="1" applyProtection="1">
      <alignment horizontal="left" vertical="center" wrapText="1" indent="1"/>
      <protection locked="0"/>
    </xf>
    <xf numFmtId="49" fontId="3" fillId="0" borderId="15" xfId="3" applyNumberFormat="1" applyFont="1" applyBorder="1" applyAlignment="1" applyProtection="1">
      <alignment horizontal="justify" vertical="center" wrapText="1"/>
    </xf>
    <xf numFmtId="49" fontId="21" fillId="0" borderId="4" xfId="3" applyNumberFormat="1" applyFont="1" applyFill="1" applyBorder="1" applyAlignment="1" applyProtection="1">
      <alignment vertical="center"/>
    </xf>
    <xf numFmtId="49" fontId="21" fillId="0" borderId="8" xfId="3" applyNumberFormat="1" applyFont="1" applyFill="1" applyBorder="1" applyAlignment="1" applyProtection="1">
      <alignment vertical="center"/>
    </xf>
    <xf numFmtId="49" fontId="3" fillId="0" borderId="0" xfId="3" applyNumberFormat="1" applyFill="1" applyBorder="1" applyProtection="1"/>
    <xf numFmtId="49" fontId="3" fillId="0" borderId="3" xfId="3" applyNumberFormat="1" applyFill="1" applyBorder="1" applyProtection="1"/>
    <xf numFmtId="49" fontId="3" fillId="0" borderId="6" xfId="3" applyNumberFormat="1" applyFont="1" applyFill="1" applyBorder="1" applyAlignment="1" applyProtection="1">
      <alignment horizontal="justify" vertical="center" wrapText="1"/>
    </xf>
    <xf numFmtId="49" fontId="3" fillId="0" borderId="7" xfId="3" applyNumberFormat="1" applyFill="1" applyBorder="1" applyProtection="1"/>
    <xf numFmtId="49" fontId="21" fillId="0" borderId="4" xfId="3" applyNumberFormat="1" applyFont="1" applyFill="1" applyBorder="1" applyAlignment="1" applyProtection="1">
      <alignment horizontal="center" vertical="center"/>
    </xf>
    <xf numFmtId="49" fontId="21" fillId="0" borderId="8" xfId="3" applyNumberFormat="1" applyFont="1" applyFill="1" applyBorder="1" applyAlignment="1" applyProtection="1">
      <alignment horizontal="center" vertical="center"/>
    </xf>
    <xf numFmtId="49" fontId="21" fillId="0" borderId="5" xfId="3" applyNumberFormat="1" applyFont="1" applyFill="1" applyBorder="1" applyAlignment="1" applyProtection="1">
      <alignment horizontal="center" vertical="center"/>
    </xf>
    <xf numFmtId="49" fontId="21" fillId="0" borderId="9" xfId="3" applyNumberFormat="1" applyFont="1" applyFill="1" applyBorder="1" applyAlignment="1" applyProtection="1">
      <alignment horizontal="center" vertical="center"/>
    </xf>
    <xf numFmtId="49" fontId="24" fillId="0" borderId="0" xfId="3" applyNumberFormat="1" applyFont="1" applyBorder="1" applyAlignment="1" applyProtection="1">
      <alignment horizontal="justify" vertical="center" wrapText="1"/>
    </xf>
    <xf numFmtId="49" fontId="23" fillId="0" borderId="0" xfId="3" applyNumberFormat="1" applyFont="1" applyBorder="1" applyAlignment="1" applyProtection="1">
      <alignment horizontal="justify" vertical="center" wrapText="1"/>
    </xf>
    <xf numFmtId="49" fontId="25" fillId="0" borderId="5" xfId="3" applyNumberFormat="1" applyFont="1" applyBorder="1" applyProtection="1"/>
    <xf numFmtId="49" fontId="25" fillId="0" borderId="5" xfId="3" applyNumberFormat="1" applyFont="1" applyBorder="1" applyAlignment="1" applyProtection="1">
      <alignment vertical="top"/>
    </xf>
    <xf numFmtId="0" fontId="5" fillId="2" borderId="10" xfId="0" applyFont="1" applyFill="1" applyBorder="1" applyAlignment="1" applyProtection="1">
      <alignment horizontal="center" vertical="center"/>
    </xf>
    <xf numFmtId="4" fontId="4" fillId="12" borderId="1" xfId="0" applyNumberFormat="1" applyFont="1" applyFill="1" applyBorder="1" applyAlignment="1" applyProtection="1">
      <alignment horizontal="right" vertical="center" indent="1"/>
      <protection locked="0"/>
    </xf>
    <xf numFmtId="0" fontId="9" fillId="2" borderId="1" xfId="0" applyFont="1" applyFill="1" applyBorder="1" applyAlignment="1" applyProtection="1">
      <alignment horizontal="center" vertical="center" wrapText="1"/>
    </xf>
    <xf numFmtId="0" fontId="8" fillId="0" borderId="0" xfId="0" applyNumberFormat="1" applyFont="1" applyFill="1" applyBorder="1" applyAlignment="1" applyProtection="1">
      <alignment vertical="center" wrapText="1"/>
    </xf>
    <xf numFmtId="0" fontId="13" fillId="3" borderId="1" xfId="0" applyNumberFormat="1" applyFont="1" applyFill="1" applyBorder="1" applyAlignment="1" applyProtection="1">
      <alignment horizontal="center" vertical="center" wrapText="1"/>
      <protection locked="0"/>
    </xf>
    <xf numFmtId="0" fontId="5" fillId="2" borderId="18" xfId="2" applyFont="1" applyFill="1" applyBorder="1" applyAlignment="1" applyProtection="1">
      <alignment horizontal="center" vertical="center" wrapText="1"/>
    </xf>
    <xf numFmtId="0" fontId="12" fillId="2" borderId="18" xfId="2" applyFont="1" applyFill="1" applyBorder="1" applyAlignment="1" applyProtection="1">
      <alignment horizontal="center" vertical="center" wrapText="1"/>
    </xf>
    <xf numFmtId="0" fontId="5" fillId="2" borderId="18" xfId="0" applyFont="1" applyFill="1" applyBorder="1" applyAlignment="1" applyProtection="1">
      <alignment horizontal="center" vertical="center" wrapText="1"/>
    </xf>
    <xf numFmtId="168" fontId="4" fillId="3" borderId="18" xfId="0" applyNumberFormat="1" applyFont="1" applyFill="1" applyBorder="1" applyAlignment="1" applyProtection="1">
      <alignment horizontal="center" vertical="center" wrapText="1"/>
      <protection locked="0"/>
    </xf>
    <xf numFmtId="3" fontId="13" fillId="3" borderId="18" xfId="0" applyNumberFormat="1" applyFont="1" applyFill="1" applyBorder="1" applyAlignment="1" applyProtection="1">
      <alignment horizontal="center" vertical="center" wrapText="1"/>
      <protection locked="0"/>
    </xf>
    <xf numFmtId="3" fontId="4" fillId="3" borderId="18" xfId="0" applyNumberFormat="1" applyFont="1" applyFill="1" applyBorder="1" applyAlignment="1" applyProtection="1">
      <alignment horizontal="center" vertical="center" wrapText="1"/>
      <protection locked="0"/>
    </xf>
    <xf numFmtId="4" fontId="4" fillId="3" borderId="18" xfId="0" applyNumberFormat="1" applyFont="1" applyFill="1" applyBorder="1" applyAlignment="1" applyProtection="1">
      <alignment horizontal="right" vertical="center" wrapText="1" indent="1"/>
      <protection locked="0"/>
    </xf>
    <xf numFmtId="166" fontId="4" fillId="2" borderId="18" xfId="0" applyNumberFormat="1" applyFont="1" applyFill="1" applyBorder="1" applyAlignment="1" applyProtection="1">
      <alignment horizontal="right" vertical="center" wrapText="1" indent="1"/>
    </xf>
    <xf numFmtId="166" fontId="4" fillId="0" borderId="18" xfId="0" applyNumberFormat="1" applyFont="1" applyFill="1" applyBorder="1" applyAlignment="1" applyProtection="1">
      <alignment horizontal="right" vertical="center" wrapText="1" indent="1"/>
    </xf>
    <xf numFmtId="0" fontId="5" fillId="0" borderId="18" xfId="0" applyFont="1" applyFill="1" applyBorder="1" applyAlignment="1" applyProtection="1">
      <alignment horizontal="center" vertical="center" wrapText="1"/>
    </xf>
    <xf numFmtId="0" fontId="5" fillId="2" borderId="19" xfId="0" applyFont="1" applyFill="1" applyBorder="1" applyAlignment="1" applyProtection="1">
      <alignment horizontal="center" vertical="center" wrapText="1"/>
    </xf>
    <xf numFmtId="0" fontId="5" fillId="2" borderId="19" xfId="2" applyFont="1" applyFill="1" applyBorder="1" applyAlignment="1" applyProtection="1">
      <alignment horizontal="center" vertical="center" wrapText="1"/>
    </xf>
    <xf numFmtId="0" fontId="28" fillId="0" borderId="0" xfId="0" applyNumberFormat="1" applyFont="1" applyFill="1" applyBorder="1" applyAlignment="1" applyProtection="1">
      <alignment vertical="center" wrapText="1"/>
    </xf>
    <xf numFmtId="0" fontId="28" fillId="0" borderId="20" xfId="0" applyNumberFormat="1" applyFont="1" applyFill="1" applyBorder="1" applyAlignment="1" applyProtection="1">
      <alignment vertical="center" wrapText="1"/>
    </xf>
    <xf numFmtId="0" fontId="5" fillId="0" borderId="0" xfId="0" applyFont="1" applyFill="1" applyBorder="1" applyAlignment="1" applyProtection="1">
      <alignment horizontal="center" vertical="center"/>
    </xf>
    <xf numFmtId="164" fontId="4" fillId="0" borderId="1" xfId="1" applyNumberFormat="1" applyFont="1" applyFill="1" applyBorder="1" applyAlignment="1" applyProtection="1">
      <alignment vertical="center" wrapText="1"/>
    </xf>
    <xf numFmtId="3" fontId="5" fillId="2" borderId="1" xfId="0" applyNumberFormat="1" applyFont="1" applyFill="1" applyBorder="1" applyAlignment="1" applyProtection="1">
      <alignment horizontal="right" vertical="center" indent="1"/>
    </xf>
    <xf numFmtId="164" fontId="5" fillId="2" borderId="1" xfId="1" applyNumberFormat="1" applyFont="1" applyFill="1" applyBorder="1" applyAlignment="1" applyProtection="1">
      <alignment horizontal="right" vertical="center" wrapText="1" indent="1"/>
    </xf>
    <xf numFmtId="0" fontId="13" fillId="3" borderId="2" xfId="0" applyNumberFormat="1"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xf>
    <xf numFmtId="0" fontId="0" fillId="0" borderId="1" xfId="0" applyFont="1" applyBorder="1" applyAlignment="1" applyProtection="1"/>
    <xf numFmtId="0" fontId="9" fillId="4" borderId="19" xfId="0" applyFont="1" applyFill="1" applyBorder="1" applyAlignment="1" applyProtection="1">
      <alignment horizontal="center" vertical="center" wrapText="1"/>
    </xf>
    <xf numFmtId="166" fontId="4" fillId="3" borderId="18" xfId="0" applyNumberFormat="1" applyFont="1" applyFill="1" applyBorder="1" applyAlignment="1" applyProtection="1">
      <alignment horizontal="center" vertical="center" wrapText="1"/>
      <protection locked="0"/>
    </xf>
    <xf numFmtId="0" fontId="4" fillId="3" borderId="1"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wrapText="1"/>
    </xf>
    <xf numFmtId="0" fontId="5" fillId="0" borderId="5" xfId="0" applyFont="1" applyFill="1" applyBorder="1" applyAlignment="1" applyProtection="1">
      <alignment wrapText="1"/>
    </xf>
    <xf numFmtId="10" fontId="5" fillId="0" borderId="0" xfId="0" applyNumberFormat="1" applyFont="1" applyFill="1" applyBorder="1" applyAlignment="1" applyProtection="1">
      <alignment horizontal="center" vertical="center" wrapText="1"/>
    </xf>
    <xf numFmtId="10" fontId="9" fillId="0" borderId="0" xfId="0" applyNumberFormat="1" applyFont="1" applyFill="1" applyBorder="1" applyAlignment="1" applyProtection="1">
      <alignment horizontal="center" vertical="center" wrapText="1"/>
    </xf>
    <xf numFmtId="0" fontId="5" fillId="0" borderId="3" xfId="0" applyFont="1" applyFill="1" applyBorder="1" applyAlignment="1" applyProtection="1">
      <alignment wrapText="1"/>
    </xf>
    <xf numFmtId="10" fontId="5" fillId="0" borderId="6" xfId="0" applyNumberFormat="1" applyFont="1" applyFill="1" applyBorder="1" applyAlignment="1" applyProtection="1">
      <alignment horizontal="center" vertical="center" wrapText="1"/>
    </xf>
    <xf numFmtId="0" fontId="5" fillId="0" borderId="0" xfId="0" applyFont="1" applyFill="1" applyBorder="1" applyAlignment="1" applyProtection="1">
      <alignment horizontal="center" wrapText="1"/>
    </xf>
    <xf numFmtId="10" fontId="4" fillId="0" borderId="0" xfId="0" applyNumberFormat="1" applyFont="1" applyFill="1" applyBorder="1" applyAlignment="1" applyProtection="1">
      <alignment wrapText="1"/>
    </xf>
    <xf numFmtId="0" fontId="4" fillId="3" borderId="2" xfId="0" applyNumberFormat="1" applyFont="1" applyFill="1" applyBorder="1" applyAlignment="1" applyProtection="1">
      <alignment horizontal="left" vertical="center" wrapText="1"/>
      <protection locked="0"/>
    </xf>
    <xf numFmtId="14" fontId="4" fillId="3" borderId="18" xfId="0" applyNumberFormat="1" applyFont="1" applyFill="1" applyBorder="1" applyAlignment="1" applyProtection="1">
      <alignment horizontal="left" vertical="center" wrapText="1"/>
      <protection locked="0"/>
    </xf>
    <xf numFmtId="0" fontId="4" fillId="3" borderId="18" xfId="0" applyNumberFormat="1" applyFont="1" applyFill="1" applyBorder="1" applyAlignment="1" applyProtection="1">
      <alignment horizontal="left" vertical="center" wrapText="1"/>
      <protection locked="0"/>
    </xf>
    <xf numFmtId="0" fontId="31" fillId="0" borderId="0" xfId="0" applyFont="1" applyFill="1" applyBorder="1" applyAlignment="1" applyProtection="1">
      <alignment horizontal="center" vertical="center" wrapText="1"/>
    </xf>
    <xf numFmtId="0" fontId="30" fillId="0" borderId="0" xfId="0" applyFont="1" applyFill="1" applyBorder="1" applyAlignment="1" applyProtection="1">
      <alignment horizontal="center" vertical="center" wrapText="1"/>
    </xf>
    <xf numFmtId="4" fontId="4" fillId="0" borderId="0" xfId="0" applyNumberFormat="1" applyFont="1" applyFill="1" applyBorder="1" applyAlignment="1" applyProtection="1">
      <alignment wrapText="1"/>
    </xf>
    <xf numFmtId="166" fontId="4" fillId="0" borderId="0" xfId="0" applyNumberFormat="1" applyFont="1" applyFill="1" applyBorder="1" applyAlignment="1" applyProtection="1">
      <alignment horizontal="left" vertical="center" wrapText="1"/>
    </xf>
    <xf numFmtId="49" fontId="3" fillId="0" borderId="0" xfId="3" applyNumberFormat="1" applyFont="1" applyFill="1" applyBorder="1" applyAlignment="1" applyProtection="1">
      <alignment horizontal="justify" vertical="center" wrapText="1"/>
    </xf>
    <xf numFmtId="0" fontId="5" fillId="0" borderId="13" xfId="0" applyFont="1" applyFill="1" applyBorder="1" applyAlignment="1" applyProtection="1">
      <alignment horizontal="center" vertical="center"/>
    </xf>
    <xf numFmtId="0" fontId="0" fillId="0" borderId="0" xfId="0" applyFont="1" applyFill="1" applyBorder="1" applyAlignment="1" applyProtection="1">
      <alignment horizontal="left" vertical="center"/>
    </xf>
    <xf numFmtId="0" fontId="4" fillId="12" borderId="1" xfId="0" applyNumberFormat="1" applyFont="1" applyFill="1" applyBorder="1" applyAlignment="1" applyProtection="1">
      <alignment horizontal="center" vertical="center" wrapText="1"/>
      <protection locked="0"/>
    </xf>
    <xf numFmtId="0" fontId="4" fillId="0" borderId="1" xfId="0" applyNumberFormat="1" applyFont="1" applyFill="1" applyBorder="1" applyAlignment="1" applyProtection="1">
      <alignment horizontal="center" vertical="center" wrapText="1"/>
    </xf>
    <xf numFmtId="0" fontId="4" fillId="0" borderId="9" xfId="0" applyFont="1" applyFill="1" applyBorder="1" applyAlignment="1" applyProtection="1">
      <alignment vertical="center"/>
    </xf>
    <xf numFmtId="0" fontId="9" fillId="0" borderId="0" xfId="0"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0" fontId="5" fillId="0" borderId="6" xfId="0" applyFont="1" applyFill="1" applyBorder="1" applyAlignment="1" applyProtection="1">
      <alignment horizontal="center" vertical="center"/>
    </xf>
    <xf numFmtId="0" fontId="4" fillId="0" borderId="0" xfId="0" applyFont="1" applyFill="1" applyBorder="1" applyAlignment="1" applyProtection="1">
      <alignment horizontal="center" vertical="center" wrapText="1"/>
    </xf>
    <xf numFmtId="0" fontId="5" fillId="0" borderId="9" xfId="0" applyFont="1" applyFill="1" applyBorder="1" applyAlignment="1" applyProtection="1">
      <alignment vertical="center"/>
    </xf>
    <xf numFmtId="164" fontId="4" fillId="0" borderId="1" xfId="0" applyNumberFormat="1" applyFont="1" applyFill="1" applyBorder="1" applyAlignment="1" applyProtection="1">
      <alignment horizontal="right" vertical="center" indent="1"/>
    </xf>
    <xf numFmtId="164" fontId="5" fillId="2" borderId="1" xfId="0" applyNumberFormat="1" applyFont="1" applyFill="1" applyBorder="1" applyAlignment="1" applyProtection="1">
      <alignment horizontal="right" vertical="center" indent="1"/>
    </xf>
    <xf numFmtId="164" fontId="5" fillId="2" borderId="1" xfId="1" applyNumberFormat="1" applyFont="1" applyFill="1" applyBorder="1" applyAlignment="1" applyProtection="1">
      <alignment horizontal="right" vertical="center" indent="1"/>
    </xf>
    <xf numFmtId="164" fontId="5" fillId="2" borderId="1" xfId="0" applyNumberFormat="1" applyFont="1" applyFill="1" applyBorder="1" applyAlignment="1" applyProtection="1">
      <alignment horizontal="right" vertical="center" indent="3"/>
    </xf>
    <xf numFmtId="164" fontId="5" fillId="2" borderId="13" xfId="0" applyNumberFormat="1" applyFont="1" applyFill="1" applyBorder="1" applyAlignment="1" applyProtection="1">
      <alignment horizontal="right" vertical="center" indent="3"/>
    </xf>
    <xf numFmtId="166" fontId="11" fillId="0" borderId="1" xfId="0" applyNumberFormat="1" applyFont="1" applyFill="1" applyBorder="1" applyAlignment="1" applyProtection="1">
      <alignment horizontal="right" vertical="center" wrapText="1" indent="1"/>
    </xf>
    <xf numFmtId="4" fontId="4" fillId="0" borderId="0" xfId="0" applyNumberFormat="1" applyFont="1" applyAlignment="1" applyProtection="1"/>
    <xf numFmtId="0" fontId="0" fillId="0" borderId="0" xfId="0" applyProtection="1"/>
    <xf numFmtId="0" fontId="0" fillId="0" borderId="0" xfId="0" applyAlignment="1" applyProtection="1">
      <alignment horizontal="center" vertical="center"/>
    </xf>
    <xf numFmtId="0" fontId="0" fillId="3" borderId="1" xfId="0" applyFill="1" applyBorder="1" applyAlignment="1" applyProtection="1">
      <alignment horizontal="center" vertical="center"/>
      <protection locked="0"/>
    </xf>
    <xf numFmtId="169" fontId="0" fillId="3" borderId="1" xfId="0" applyNumberFormat="1" applyFill="1" applyBorder="1" applyAlignment="1" applyProtection="1">
      <alignment horizontal="right" vertical="center" indent="1"/>
      <protection locked="0"/>
    </xf>
    <xf numFmtId="169" fontId="4" fillId="3" borderId="1" xfId="0" applyNumberFormat="1" applyFont="1" applyFill="1" applyBorder="1" applyAlignment="1" applyProtection="1">
      <alignment horizontal="right" vertical="center" wrapText="1" indent="1"/>
      <protection locked="0"/>
    </xf>
    <xf numFmtId="169" fontId="4" fillId="0" borderId="1" xfId="0" applyNumberFormat="1" applyFont="1" applyFill="1" applyBorder="1" applyAlignment="1" applyProtection="1">
      <alignment horizontal="right" vertical="center" wrapText="1" indent="1"/>
    </xf>
    <xf numFmtId="166" fontId="4" fillId="13" borderId="1" xfId="0" applyNumberFormat="1" applyFont="1" applyFill="1" applyBorder="1" applyAlignment="1" applyProtection="1">
      <alignment horizontal="right" vertical="center" wrapText="1" indent="1"/>
    </xf>
    <xf numFmtId="0" fontId="5" fillId="0" borderId="0" xfId="0" applyFont="1" applyBorder="1" applyAlignment="1" applyProtection="1">
      <alignment horizontal="left" vertical="center"/>
    </xf>
    <xf numFmtId="0" fontId="4" fillId="0" borderId="0" xfId="0" applyFont="1" applyBorder="1" applyAlignment="1" applyProtection="1">
      <alignment horizontal="left" vertical="center"/>
    </xf>
    <xf numFmtId="0" fontId="5" fillId="2" borderId="1" xfId="0" applyNumberFormat="1" applyFont="1" applyFill="1" applyBorder="1" applyAlignment="1" applyProtection="1">
      <alignment horizontal="center" vertical="center"/>
    </xf>
    <xf numFmtId="4" fontId="4" fillId="0" borderId="1" xfId="0" applyNumberFormat="1" applyFont="1" applyFill="1" applyBorder="1" applyAlignment="1" applyProtection="1">
      <alignment horizontal="right" vertical="center" indent="1"/>
    </xf>
    <xf numFmtId="0" fontId="4" fillId="0" borderId="0" xfId="0" applyFont="1" applyAlignment="1" applyProtection="1">
      <alignment horizontal="center" vertical="center"/>
    </xf>
    <xf numFmtId="4" fontId="5" fillId="2" borderId="1" xfId="0" applyNumberFormat="1" applyFont="1" applyFill="1" applyBorder="1" applyAlignment="1" applyProtection="1">
      <alignment horizontal="right" vertical="center" indent="1"/>
    </xf>
    <xf numFmtId="3" fontId="5" fillId="2" borderId="12" xfId="0" applyNumberFormat="1"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xf>
    <xf numFmtId="0" fontId="5" fillId="2" borderId="1" xfId="0" applyFont="1" applyFill="1" applyBorder="1" applyAlignment="1" applyProtection="1">
      <alignment horizontal="center" vertical="center" wrapText="1"/>
    </xf>
    <xf numFmtId="0" fontId="5" fillId="2" borderId="10" xfId="0" applyFont="1" applyFill="1" applyBorder="1" applyAlignment="1" applyProtection="1">
      <alignment horizontal="center" vertical="center" wrapText="1"/>
    </xf>
    <xf numFmtId="0" fontId="5" fillId="2" borderId="12" xfId="0" applyFont="1" applyFill="1" applyBorder="1" applyAlignment="1" applyProtection="1">
      <alignment horizontal="center" vertical="center" wrapText="1"/>
    </xf>
    <xf numFmtId="0" fontId="5" fillId="2" borderId="1" xfId="0" applyFont="1" applyFill="1" applyBorder="1" applyAlignment="1" applyProtection="1">
      <alignment horizontal="center" vertical="center"/>
    </xf>
    <xf numFmtId="0" fontId="5" fillId="0" borderId="1" xfId="0" applyFont="1" applyFill="1" applyBorder="1" applyAlignment="1" applyProtection="1">
      <alignment horizontal="center" vertical="center"/>
    </xf>
    <xf numFmtId="0" fontId="5" fillId="2" borderId="1" xfId="0" applyFont="1" applyFill="1" applyBorder="1" applyAlignment="1" applyProtection="1">
      <alignment horizontal="center" vertical="center" wrapText="1"/>
    </xf>
    <xf numFmtId="0" fontId="5" fillId="2" borderId="13" xfId="0" applyFont="1" applyFill="1" applyBorder="1" applyAlignment="1" applyProtection="1">
      <alignment horizontal="center" vertical="center" wrapText="1"/>
    </xf>
    <xf numFmtId="3" fontId="5" fillId="2" borderId="1" xfId="0" applyNumberFormat="1" applyFont="1" applyFill="1" applyBorder="1" applyAlignment="1" applyProtection="1">
      <alignment horizontal="center" vertical="center" wrapText="1"/>
    </xf>
    <xf numFmtId="0" fontId="5" fillId="2" borderId="10" xfId="0" applyFont="1" applyFill="1" applyBorder="1" applyAlignment="1" applyProtection="1">
      <alignment horizontal="center" vertical="center" wrapText="1"/>
    </xf>
    <xf numFmtId="0" fontId="5" fillId="2" borderId="11" xfId="0" applyFont="1" applyFill="1" applyBorder="1" applyAlignment="1" applyProtection="1">
      <alignment horizontal="center" vertical="center" wrapText="1"/>
    </xf>
    <xf numFmtId="0" fontId="0" fillId="0" borderId="10" xfId="0" applyBorder="1" applyProtection="1"/>
    <xf numFmtId="0" fontId="0" fillId="0" borderId="11" xfId="0" applyBorder="1" applyProtection="1"/>
    <xf numFmtId="0" fontId="6" fillId="14" borderId="10" xfId="0" applyFont="1" applyFill="1" applyBorder="1" applyAlignment="1" applyProtection="1">
      <alignment horizontal="center" vertical="center"/>
    </xf>
    <xf numFmtId="49" fontId="37" fillId="0" borderId="0" xfId="3" applyNumberFormat="1" applyFont="1" applyBorder="1" applyAlignment="1" applyProtection="1">
      <alignment horizontal="justify" vertical="center" wrapText="1"/>
    </xf>
    <xf numFmtId="49" fontId="21" fillId="2" borderId="2" xfId="3" applyNumberFormat="1" applyFont="1" applyFill="1" applyBorder="1" applyAlignment="1" applyProtection="1">
      <alignment horizontal="center" vertical="center"/>
    </xf>
    <xf numFmtId="49" fontId="21" fillId="2" borderId="14" xfId="3" applyNumberFormat="1" applyFont="1" applyFill="1" applyBorder="1" applyAlignment="1" applyProtection="1">
      <alignment horizontal="center" vertical="center"/>
    </xf>
    <xf numFmtId="49" fontId="21" fillId="2" borderId="13" xfId="3" applyNumberFormat="1" applyFont="1" applyFill="1" applyBorder="1" applyAlignment="1" applyProtection="1">
      <alignment horizontal="center" vertical="center"/>
    </xf>
    <xf numFmtId="49" fontId="21" fillId="2" borderId="1" xfId="3" applyNumberFormat="1" applyFont="1" applyFill="1" applyBorder="1" applyAlignment="1" applyProtection="1">
      <alignment horizontal="center" vertical="center"/>
    </xf>
    <xf numFmtId="49" fontId="21" fillId="2" borderId="4" xfId="3" applyNumberFormat="1" applyFont="1" applyFill="1" applyBorder="1" applyAlignment="1" applyProtection="1">
      <alignment horizontal="center" vertical="center"/>
    </xf>
    <xf numFmtId="49" fontId="21" fillId="2" borderId="15" xfId="3" applyNumberFormat="1" applyFont="1" applyFill="1" applyBorder="1" applyAlignment="1" applyProtection="1">
      <alignment horizontal="center" vertical="center"/>
    </xf>
    <xf numFmtId="49" fontId="21" fillId="2" borderId="8" xfId="3" applyNumberFormat="1" applyFont="1" applyFill="1" applyBorder="1" applyAlignment="1" applyProtection="1">
      <alignment horizontal="center" vertical="center"/>
    </xf>
    <xf numFmtId="49" fontId="21" fillId="2" borderId="10" xfId="3" applyNumberFormat="1" applyFont="1" applyFill="1" applyBorder="1" applyAlignment="1" applyProtection="1">
      <alignment horizontal="center" vertical="center"/>
    </xf>
    <xf numFmtId="0" fontId="18" fillId="0" borderId="0" xfId="0" applyFont="1" applyFill="1" applyBorder="1" applyAlignment="1" applyProtection="1">
      <alignment horizontal="left"/>
    </xf>
    <xf numFmtId="0" fontId="5" fillId="0" borderId="0" xfId="0" applyFont="1" applyBorder="1" applyAlignment="1" applyProtection="1">
      <alignment horizontal="left" vertical="center"/>
    </xf>
    <xf numFmtId="0" fontId="4" fillId="0" borderId="0" xfId="0" applyFont="1" applyBorder="1" applyAlignment="1" applyProtection="1">
      <alignment horizontal="left" vertical="center"/>
    </xf>
    <xf numFmtId="0" fontId="5" fillId="12" borderId="1" xfId="0" applyFont="1" applyFill="1" applyBorder="1" applyAlignment="1" applyProtection="1">
      <alignment horizontal="center" vertical="center"/>
      <protection locked="0"/>
    </xf>
    <xf numFmtId="0" fontId="5" fillId="2" borderId="1" xfId="0" applyNumberFormat="1" applyFont="1" applyFill="1" applyBorder="1" applyAlignment="1" applyProtection="1">
      <alignment horizontal="center" vertical="center"/>
    </xf>
    <xf numFmtId="4" fontId="13" fillId="0" borderId="1" xfId="0" applyNumberFormat="1" applyFont="1" applyFill="1" applyBorder="1" applyAlignment="1" applyProtection="1">
      <alignment horizontal="right" vertical="center" indent="1"/>
    </xf>
    <xf numFmtId="4" fontId="4" fillId="0" borderId="1" xfId="0" applyNumberFormat="1" applyFont="1" applyFill="1" applyBorder="1" applyAlignment="1" applyProtection="1">
      <alignment horizontal="right" vertical="center" indent="1"/>
    </xf>
    <xf numFmtId="0" fontId="5" fillId="2" borderId="2" xfId="0" applyFont="1" applyFill="1" applyBorder="1" applyAlignment="1" applyProtection="1">
      <alignment horizontal="center" vertical="center"/>
    </xf>
    <xf numFmtId="0" fontId="5" fillId="2" borderId="13" xfId="0" applyFont="1" applyFill="1" applyBorder="1" applyAlignment="1" applyProtection="1">
      <alignment horizontal="center" vertical="center"/>
    </xf>
    <xf numFmtId="0" fontId="5" fillId="0" borderId="1" xfId="0" applyFont="1" applyBorder="1" applyAlignment="1" applyProtection="1">
      <alignment horizontal="left" vertical="center" indent="1"/>
    </xf>
    <xf numFmtId="167" fontId="5" fillId="0" borderId="0" xfId="0" applyNumberFormat="1" applyFont="1" applyFill="1" applyBorder="1" applyAlignment="1" applyProtection="1">
      <alignment horizontal="left" vertical="center"/>
    </xf>
    <xf numFmtId="0" fontId="0" fillId="0" borderId="0" xfId="0" applyBorder="1" applyAlignment="1" applyProtection="1">
      <alignment horizontal="left" vertical="center"/>
    </xf>
    <xf numFmtId="0" fontId="13" fillId="0" borderId="0" xfId="0" applyFont="1" applyFill="1" applyBorder="1" applyAlignment="1" applyProtection="1">
      <alignment horizontal="center" vertical="center"/>
    </xf>
    <xf numFmtId="10" fontId="4" fillId="0" borderId="0" xfId="0" applyNumberFormat="1" applyFont="1" applyBorder="1" applyAlignment="1" applyProtection="1">
      <alignment horizontal="center" vertical="center"/>
    </xf>
    <xf numFmtId="0" fontId="4" fillId="0" borderId="0" xfId="0" applyFont="1" applyAlignment="1" applyProtection="1">
      <alignment horizontal="center" vertical="center"/>
    </xf>
    <xf numFmtId="10" fontId="13" fillId="0" borderId="0" xfId="0" applyNumberFormat="1" applyFont="1" applyFill="1" applyBorder="1" applyAlignment="1" applyProtection="1">
      <alignment horizontal="center" vertical="center"/>
    </xf>
    <xf numFmtId="0" fontId="5" fillId="2" borderId="1" xfId="0" applyFont="1" applyFill="1" applyBorder="1" applyAlignment="1" applyProtection="1">
      <alignment horizontal="left" vertical="center" indent="1"/>
    </xf>
    <xf numFmtId="0" fontId="5" fillId="2" borderId="1" xfId="0" applyFont="1" applyFill="1" applyBorder="1" applyAlignment="1" applyProtection="1">
      <alignment horizontal="center" vertical="center"/>
    </xf>
    <xf numFmtId="4" fontId="5" fillId="2" borderId="1" xfId="0" applyNumberFormat="1" applyFont="1" applyFill="1" applyBorder="1" applyAlignment="1" applyProtection="1">
      <alignment horizontal="right" vertical="center" indent="1"/>
    </xf>
    <xf numFmtId="4" fontId="9" fillId="2" borderId="1" xfId="0" applyNumberFormat="1" applyFont="1" applyFill="1" applyBorder="1" applyAlignment="1" applyProtection="1">
      <alignment horizontal="right" vertical="center" indent="1"/>
    </xf>
    <xf numFmtId="0" fontId="5" fillId="0" borderId="1" xfId="0" applyFont="1" applyFill="1" applyBorder="1" applyAlignment="1" applyProtection="1">
      <alignment horizontal="left" vertical="center" indent="1"/>
    </xf>
    <xf numFmtId="0" fontId="5" fillId="2" borderId="2" xfId="0" applyFont="1" applyFill="1" applyBorder="1" applyAlignment="1" applyProtection="1">
      <alignment horizontal="right" indent="1"/>
    </xf>
    <xf numFmtId="0" fontId="5" fillId="2" borderId="14" xfId="0" applyFont="1" applyFill="1" applyBorder="1" applyAlignment="1" applyProtection="1">
      <alignment horizontal="right" indent="1"/>
    </xf>
    <xf numFmtId="0" fontId="5" fillId="2" borderId="13" xfId="0" applyFont="1" applyFill="1" applyBorder="1" applyAlignment="1" applyProtection="1">
      <alignment horizontal="right" indent="1"/>
    </xf>
    <xf numFmtId="0" fontId="5" fillId="2" borderId="2" xfId="0" applyNumberFormat="1" applyFont="1" applyFill="1" applyBorder="1" applyAlignment="1" applyProtection="1">
      <alignment horizontal="center" vertical="center"/>
    </xf>
    <xf numFmtId="0" fontId="5" fillId="2" borderId="13" xfId="0" applyNumberFormat="1" applyFont="1" applyFill="1" applyBorder="1" applyAlignment="1" applyProtection="1">
      <alignment horizontal="center" vertical="center"/>
    </xf>
    <xf numFmtId="0" fontId="10" fillId="2" borderId="1" xfId="0" applyNumberFormat="1" applyFont="1" applyFill="1" applyBorder="1" applyAlignment="1" applyProtection="1">
      <alignment horizontal="center" vertical="center"/>
    </xf>
    <xf numFmtId="4" fontId="4" fillId="0" borderId="2" xfId="0" applyNumberFormat="1" applyFont="1" applyBorder="1" applyAlignment="1" applyProtection="1">
      <alignment horizontal="right" vertical="center" indent="1"/>
    </xf>
    <xf numFmtId="4" fontId="4" fillId="0" borderId="14" xfId="0" applyNumberFormat="1" applyFont="1" applyBorder="1" applyAlignment="1" applyProtection="1">
      <alignment horizontal="right" vertical="center" indent="1"/>
    </xf>
    <xf numFmtId="4" fontId="4" fillId="0" borderId="13" xfId="0" applyNumberFormat="1" applyFont="1" applyBorder="1" applyAlignment="1" applyProtection="1">
      <alignment horizontal="right" vertical="center" indent="1"/>
    </xf>
    <xf numFmtId="0" fontId="10" fillId="2" borderId="1" xfId="0" applyFont="1" applyFill="1" applyBorder="1" applyAlignment="1" applyProtection="1">
      <alignment horizontal="center" vertical="center"/>
    </xf>
    <xf numFmtId="4" fontId="4" fillId="0" borderId="2" xfId="0" applyNumberFormat="1" applyFont="1" applyFill="1" applyBorder="1" applyAlignment="1" applyProtection="1">
      <alignment horizontal="right" vertical="center" indent="1"/>
    </xf>
    <xf numFmtId="4" fontId="4" fillId="0" borderId="13" xfId="0" applyNumberFormat="1" applyFont="1" applyFill="1" applyBorder="1" applyAlignment="1" applyProtection="1">
      <alignment horizontal="right" vertical="center" indent="1"/>
    </xf>
    <xf numFmtId="0" fontId="5" fillId="2" borderId="2" xfId="0" applyFont="1" applyFill="1" applyBorder="1" applyAlignment="1" applyProtection="1">
      <alignment horizontal="left" vertical="center" indent="1"/>
    </xf>
    <xf numFmtId="0" fontId="5" fillId="2" borderId="14" xfId="0" applyFont="1" applyFill="1" applyBorder="1" applyAlignment="1" applyProtection="1">
      <alignment horizontal="left" vertical="center" indent="1"/>
    </xf>
    <xf numFmtId="0" fontId="5" fillId="2" borderId="13" xfId="0" applyFont="1" applyFill="1" applyBorder="1" applyAlignment="1" applyProtection="1">
      <alignment horizontal="left" vertical="center" indent="1"/>
    </xf>
    <xf numFmtId="0" fontId="9" fillId="2" borderId="2" xfId="0" applyFont="1" applyFill="1" applyBorder="1" applyAlignment="1" applyProtection="1">
      <alignment horizontal="left" vertical="center" indent="1"/>
    </xf>
    <xf numFmtId="0" fontId="9" fillId="2" borderId="14" xfId="0" applyFont="1" applyFill="1" applyBorder="1" applyAlignment="1" applyProtection="1">
      <alignment horizontal="left" vertical="center" indent="1"/>
    </xf>
    <xf numFmtId="0" fontId="9" fillId="2" borderId="13" xfId="0" applyFont="1" applyFill="1" applyBorder="1" applyAlignment="1" applyProtection="1">
      <alignment horizontal="left" vertical="center" indent="1"/>
    </xf>
    <xf numFmtId="4" fontId="13" fillId="0" borderId="2" xfId="0" applyNumberFormat="1" applyFont="1" applyFill="1" applyBorder="1" applyAlignment="1" applyProtection="1">
      <alignment horizontal="right" vertical="center" indent="1"/>
    </xf>
    <xf numFmtId="4" fontId="13" fillId="0" borderId="13" xfId="0" applyNumberFormat="1" applyFont="1" applyFill="1" applyBorder="1" applyAlignment="1" applyProtection="1">
      <alignment horizontal="right" vertical="center" indent="1"/>
    </xf>
    <xf numFmtId="0" fontId="13" fillId="0" borderId="5" xfId="0" applyFont="1" applyFill="1" applyBorder="1" applyAlignment="1" applyProtection="1">
      <alignment horizontal="center" vertical="center"/>
    </xf>
    <xf numFmtId="0" fontId="13" fillId="0" borderId="9" xfId="0" applyFont="1" applyFill="1" applyBorder="1" applyAlignment="1" applyProtection="1">
      <alignment horizontal="center" vertical="center"/>
    </xf>
    <xf numFmtId="0" fontId="5" fillId="0" borderId="1" xfId="0" applyFont="1" applyFill="1" applyBorder="1" applyAlignment="1" applyProtection="1">
      <alignment horizontal="center" vertical="center"/>
    </xf>
    <xf numFmtId="4" fontId="9" fillId="0" borderId="4" xfId="0" applyNumberFormat="1" applyFont="1" applyFill="1" applyBorder="1" applyAlignment="1" applyProtection="1">
      <alignment horizontal="right" vertical="center" indent="1"/>
    </xf>
    <xf numFmtId="4" fontId="9" fillId="0" borderId="8" xfId="0" applyNumberFormat="1" applyFont="1" applyFill="1" applyBorder="1" applyAlignment="1" applyProtection="1">
      <alignment horizontal="right" vertical="center" indent="1"/>
    </xf>
    <xf numFmtId="4" fontId="9" fillId="0" borderId="3" xfId="0" applyNumberFormat="1" applyFont="1" applyFill="1" applyBorder="1" applyAlignment="1" applyProtection="1">
      <alignment horizontal="right" vertical="center" indent="1"/>
    </xf>
    <xf numFmtId="4" fontId="9" fillId="0" borderId="7" xfId="0" applyNumberFormat="1" applyFont="1" applyFill="1" applyBorder="1" applyAlignment="1" applyProtection="1">
      <alignment horizontal="right" vertical="center" indent="1"/>
    </xf>
    <xf numFmtId="0" fontId="9" fillId="4" borderId="4" xfId="0" applyFont="1" applyFill="1" applyBorder="1" applyAlignment="1" applyProtection="1">
      <alignment horizontal="left" vertical="center" wrapText="1" indent="1"/>
    </xf>
    <xf numFmtId="0" fontId="9" fillId="4" borderId="15" xfId="0" applyFont="1" applyFill="1" applyBorder="1" applyAlignment="1" applyProtection="1">
      <alignment horizontal="left" vertical="center" wrapText="1" indent="1"/>
    </xf>
    <xf numFmtId="0" fontId="9" fillId="4" borderId="8" xfId="0" applyFont="1" applyFill="1" applyBorder="1" applyAlignment="1" applyProtection="1">
      <alignment horizontal="left" vertical="center" wrapText="1" indent="1"/>
    </xf>
    <xf numFmtId="0" fontId="9" fillId="4" borderId="3" xfId="0" applyFont="1" applyFill="1" applyBorder="1" applyAlignment="1" applyProtection="1">
      <alignment horizontal="left" vertical="center" wrapText="1" indent="1"/>
    </xf>
    <xf numFmtId="0" fontId="9" fillId="4" borderId="6" xfId="0" applyFont="1" applyFill="1" applyBorder="1" applyAlignment="1" applyProtection="1">
      <alignment horizontal="left" vertical="center" wrapText="1" indent="1"/>
    </xf>
    <xf numFmtId="0" fontId="9" fillId="4" borderId="7" xfId="0" applyFont="1" applyFill="1" applyBorder="1" applyAlignment="1" applyProtection="1">
      <alignment horizontal="left" vertical="center" wrapText="1" indent="1"/>
    </xf>
    <xf numFmtId="0" fontId="4" fillId="0" borderId="14" xfId="0" applyFont="1" applyBorder="1" applyAlignment="1" applyProtection="1">
      <alignment horizontal="center"/>
    </xf>
    <xf numFmtId="4" fontId="4" fillId="0" borderId="1" xfId="0" applyNumberFormat="1" applyFont="1" applyBorder="1" applyAlignment="1" applyProtection="1">
      <alignment horizontal="right" vertical="center" indent="1"/>
    </xf>
    <xf numFmtId="0" fontId="5" fillId="2" borderId="1" xfId="0" applyNumberFormat="1" applyFont="1" applyFill="1" applyBorder="1" applyAlignment="1" applyProtection="1">
      <alignment horizontal="left" vertical="center" indent="1"/>
    </xf>
    <xf numFmtId="0" fontId="0" fillId="0" borderId="11" xfId="0" applyFill="1" applyBorder="1" applyAlignment="1" applyProtection="1">
      <alignment horizontal="left" vertical="center" wrapText="1"/>
    </xf>
    <xf numFmtId="0" fontId="0" fillId="0" borderId="11" xfId="0" applyBorder="1" applyAlignment="1" applyProtection="1">
      <alignment horizontal="left" wrapText="1"/>
    </xf>
    <xf numFmtId="0" fontId="0" fillId="0" borderId="12" xfId="0" applyBorder="1" applyAlignment="1" applyProtection="1">
      <alignment horizontal="left" wrapText="1"/>
    </xf>
    <xf numFmtId="0" fontId="6" fillId="4" borderId="10" xfId="0" applyFont="1" applyFill="1" applyBorder="1" applyAlignment="1" applyProtection="1">
      <alignment horizontal="center" wrapText="1"/>
    </xf>
    <xf numFmtId="0" fontId="6" fillId="4" borderId="12" xfId="0" applyFont="1" applyFill="1" applyBorder="1" applyAlignment="1" applyProtection="1">
      <alignment horizontal="center" wrapText="1"/>
    </xf>
    <xf numFmtId="0" fontId="0" fillId="0" borderId="1" xfId="0" applyBorder="1" applyAlignment="1" applyProtection="1">
      <alignment horizontal="center" vertical="center" wrapText="1"/>
    </xf>
    <xf numFmtId="10" fontId="10" fillId="2" borderId="2" xfId="0" applyNumberFormat="1" applyFont="1" applyFill="1" applyBorder="1" applyAlignment="1" applyProtection="1">
      <alignment horizontal="center" vertical="center"/>
    </xf>
    <xf numFmtId="10" fontId="10" fillId="2" borderId="14" xfId="0" applyNumberFormat="1" applyFont="1" applyFill="1" applyBorder="1" applyAlignment="1" applyProtection="1">
      <alignment horizontal="center" vertical="center"/>
    </xf>
    <xf numFmtId="10" fontId="10" fillId="2" borderId="13" xfId="0" applyNumberFormat="1" applyFont="1" applyFill="1" applyBorder="1" applyAlignment="1" applyProtection="1">
      <alignment horizontal="center" vertical="center"/>
    </xf>
    <xf numFmtId="0" fontId="16" fillId="2" borderId="1" xfId="0" applyFont="1" applyFill="1" applyBorder="1" applyAlignment="1" applyProtection="1">
      <alignment horizontal="center" vertical="center"/>
    </xf>
    <xf numFmtId="166" fontId="11" fillId="0" borderId="10" xfId="0" applyNumberFormat="1" applyFont="1" applyFill="1" applyBorder="1" applyAlignment="1" applyProtection="1">
      <alignment horizontal="right" vertical="center"/>
    </xf>
    <xf numFmtId="166" fontId="11" fillId="0" borderId="11" xfId="0" applyNumberFormat="1" applyFont="1" applyFill="1" applyBorder="1" applyAlignment="1" applyProtection="1">
      <alignment horizontal="right" vertical="center"/>
    </xf>
    <xf numFmtId="166" fontId="11" fillId="0" borderId="12" xfId="0" applyNumberFormat="1" applyFont="1" applyFill="1" applyBorder="1" applyAlignment="1" applyProtection="1">
      <alignment horizontal="right" vertical="center"/>
    </xf>
    <xf numFmtId="0" fontId="5" fillId="0" borderId="5" xfId="0" applyFont="1" applyFill="1" applyBorder="1" applyAlignment="1" applyProtection="1">
      <alignment horizontal="center" vertical="center"/>
    </xf>
    <xf numFmtId="10" fontId="10" fillId="2" borderId="1" xfId="0" applyNumberFormat="1" applyFont="1" applyFill="1" applyBorder="1" applyAlignment="1" applyProtection="1">
      <alignment horizontal="center" vertical="center" wrapText="1"/>
    </xf>
    <xf numFmtId="10" fontId="10" fillId="2" borderId="10" xfId="0" applyNumberFormat="1" applyFont="1" applyFill="1" applyBorder="1" applyAlignment="1" applyProtection="1">
      <alignment horizontal="center" vertical="center" wrapText="1"/>
    </xf>
    <xf numFmtId="0" fontId="16" fillId="2" borderId="2" xfId="0" applyFont="1" applyFill="1" applyBorder="1" applyAlignment="1" applyProtection="1">
      <alignment horizontal="left" vertical="center" wrapText="1"/>
    </xf>
    <xf numFmtId="0" fontId="16" fillId="2" borderId="13" xfId="0" applyFont="1" applyFill="1" applyBorder="1" applyAlignment="1" applyProtection="1">
      <alignment horizontal="left" vertical="center" wrapText="1"/>
    </xf>
    <xf numFmtId="0" fontId="9" fillId="4" borderId="27" xfId="0" applyNumberFormat="1" applyFont="1" applyFill="1" applyBorder="1" applyAlignment="1" applyProtection="1">
      <alignment horizontal="left" vertical="center" wrapText="1"/>
    </xf>
    <xf numFmtId="0" fontId="9" fillId="4" borderId="28" xfId="0" applyNumberFormat="1" applyFont="1" applyFill="1" applyBorder="1" applyAlignment="1" applyProtection="1">
      <alignment horizontal="left" vertical="center" wrapText="1"/>
    </xf>
    <xf numFmtId="0" fontId="9" fillId="4" borderId="29" xfId="0" applyNumberFormat="1" applyFont="1" applyFill="1" applyBorder="1" applyAlignment="1" applyProtection="1">
      <alignment horizontal="left" vertical="center" wrapText="1"/>
    </xf>
    <xf numFmtId="0" fontId="9" fillId="4" borderId="22" xfId="0" applyNumberFormat="1" applyFont="1" applyFill="1" applyBorder="1" applyAlignment="1" applyProtection="1">
      <alignment horizontal="left" vertical="center" wrapText="1"/>
    </xf>
    <xf numFmtId="0" fontId="9" fillId="4" borderId="0" xfId="0" applyNumberFormat="1" applyFont="1" applyFill="1" applyBorder="1" applyAlignment="1" applyProtection="1">
      <alignment horizontal="left" vertical="center" wrapText="1"/>
    </xf>
    <xf numFmtId="0" fontId="9" fillId="4" borderId="21" xfId="0" applyNumberFormat="1" applyFont="1" applyFill="1" applyBorder="1" applyAlignment="1" applyProtection="1">
      <alignment horizontal="left" vertical="center" wrapText="1"/>
    </xf>
    <xf numFmtId="0" fontId="9" fillId="4" borderId="23" xfId="0" applyNumberFormat="1" applyFont="1" applyFill="1" applyBorder="1" applyAlignment="1" applyProtection="1">
      <alignment horizontal="left" vertical="center" wrapText="1"/>
    </xf>
    <xf numFmtId="0" fontId="9" fillId="4" borderId="24" xfId="0" applyNumberFormat="1" applyFont="1" applyFill="1" applyBorder="1" applyAlignment="1" applyProtection="1">
      <alignment horizontal="left" vertical="center" wrapText="1"/>
    </xf>
    <xf numFmtId="0" fontId="9" fillId="4" borderId="25" xfId="0" applyNumberFormat="1" applyFont="1" applyFill="1" applyBorder="1" applyAlignment="1" applyProtection="1">
      <alignment horizontal="left" vertical="center" wrapText="1"/>
    </xf>
    <xf numFmtId="0" fontId="29" fillId="4" borderId="26" xfId="0" applyNumberFormat="1" applyFont="1" applyFill="1" applyBorder="1" applyAlignment="1" applyProtection="1">
      <alignment horizontal="center" vertical="center" wrapText="1"/>
    </xf>
    <xf numFmtId="0" fontId="9" fillId="4" borderId="17" xfId="0" applyNumberFormat="1" applyFont="1" applyFill="1" applyBorder="1" applyAlignment="1" applyProtection="1">
      <alignment horizontal="center" vertical="center" wrapText="1"/>
    </xf>
    <xf numFmtId="0" fontId="9" fillId="4" borderId="16" xfId="0" applyNumberFormat="1" applyFont="1" applyFill="1" applyBorder="1" applyAlignment="1" applyProtection="1">
      <alignment horizontal="center" vertical="center" wrapText="1"/>
    </xf>
    <xf numFmtId="10" fontId="10" fillId="2" borderId="1" xfId="0" applyNumberFormat="1" applyFont="1" applyFill="1" applyBorder="1" applyAlignment="1" applyProtection="1">
      <alignment horizontal="center" vertical="center"/>
    </xf>
    <xf numFmtId="10" fontId="10" fillId="2" borderId="10" xfId="0" applyNumberFormat="1" applyFont="1" applyFill="1" applyBorder="1" applyAlignment="1" applyProtection="1">
      <alignment horizontal="center" vertical="center"/>
    </xf>
    <xf numFmtId="166" fontId="11" fillId="0" borderId="1" xfId="0" applyNumberFormat="1" applyFont="1" applyFill="1" applyBorder="1" applyAlignment="1" applyProtection="1">
      <alignment horizontal="right" vertical="center"/>
    </xf>
    <xf numFmtId="0" fontId="9" fillId="0" borderId="5" xfId="0" applyFont="1" applyFill="1" applyBorder="1" applyAlignment="1" applyProtection="1">
      <alignment horizontal="center" vertical="center"/>
    </xf>
    <xf numFmtId="49" fontId="5" fillId="4" borderId="27" xfId="0" applyNumberFormat="1" applyFont="1" applyFill="1" applyBorder="1" applyAlignment="1" applyProtection="1">
      <alignment horizontal="left" vertical="center" wrapText="1"/>
    </xf>
    <xf numFmtId="49" fontId="5" fillId="4" borderId="28" xfId="0" applyNumberFormat="1" applyFont="1" applyFill="1" applyBorder="1" applyAlignment="1" applyProtection="1">
      <alignment horizontal="left" vertical="center" wrapText="1"/>
    </xf>
    <xf numFmtId="49" fontId="5" fillId="4" borderId="29" xfId="0" applyNumberFormat="1" applyFont="1" applyFill="1" applyBorder="1" applyAlignment="1" applyProtection="1">
      <alignment horizontal="left" vertical="center" wrapText="1"/>
    </xf>
    <xf numFmtId="49" fontId="5" fillId="4" borderId="22" xfId="0" applyNumberFormat="1" applyFont="1" applyFill="1" applyBorder="1" applyAlignment="1" applyProtection="1">
      <alignment horizontal="left" vertical="center" wrapText="1"/>
    </xf>
    <xf numFmtId="49" fontId="5" fillId="4" borderId="0" xfId="0" applyNumberFormat="1" applyFont="1" applyFill="1" applyBorder="1" applyAlignment="1" applyProtection="1">
      <alignment horizontal="left" vertical="center" wrapText="1"/>
    </xf>
    <xf numFmtId="49" fontId="5" fillId="4" borderId="21" xfId="0" applyNumberFormat="1" applyFont="1" applyFill="1" applyBorder="1" applyAlignment="1" applyProtection="1">
      <alignment horizontal="left" vertical="center" wrapText="1"/>
    </xf>
    <xf numFmtId="49" fontId="5" fillId="4" borderId="23" xfId="0" applyNumberFormat="1" applyFont="1" applyFill="1" applyBorder="1" applyAlignment="1" applyProtection="1">
      <alignment horizontal="left" vertical="center" wrapText="1"/>
    </xf>
    <xf numFmtId="49" fontId="5" fillId="4" borderId="24" xfId="0" applyNumberFormat="1" applyFont="1" applyFill="1" applyBorder="1" applyAlignment="1" applyProtection="1">
      <alignment horizontal="left" vertical="center" wrapText="1"/>
    </xf>
    <xf numFmtId="49" fontId="5" fillId="4" borderId="25" xfId="0" applyNumberFormat="1" applyFont="1" applyFill="1" applyBorder="1" applyAlignment="1" applyProtection="1">
      <alignment horizontal="left" vertical="center" wrapText="1"/>
    </xf>
    <xf numFmtId="164" fontId="5" fillId="0" borderId="5" xfId="0" applyNumberFormat="1" applyFont="1" applyFill="1" applyBorder="1" applyAlignment="1" applyProtection="1">
      <alignment horizontal="center" vertical="center"/>
    </xf>
    <xf numFmtId="0" fontId="5" fillId="2" borderId="2" xfId="0" applyFont="1" applyFill="1" applyBorder="1" applyAlignment="1" applyProtection="1">
      <alignment horizontal="right" vertical="center" indent="2"/>
    </xf>
    <xf numFmtId="0" fontId="5" fillId="2" borderId="14" xfId="0" applyFont="1" applyFill="1" applyBorder="1" applyAlignment="1" applyProtection="1">
      <alignment horizontal="right" vertical="center" indent="2"/>
    </xf>
    <xf numFmtId="0" fontId="5" fillId="2" borderId="13" xfId="0" applyFont="1" applyFill="1" applyBorder="1" applyAlignment="1" applyProtection="1">
      <alignment horizontal="right" vertical="center" indent="2"/>
    </xf>
    <xf numFmtId="10" fontId="10" fillId="6" borderId="1" xfId="0" applyNumberFormat="1" applyFont="1" applyFill="1" applyBorder="1" applyAlignment="1" applyProtection="1">
      <alignment horizontal="center" vertical="center"/>
    </xf>
    <xf numFmtId="3" fontId="5" fillId="2" borderId="2" xfId="0" applyNumberFormat="1" applyFont="1" applyFill="1" applyBorder="1" applyAlignment="1" applyProtection="1">
      <alignment horizontal="center" vertical="center" wrapText="1"/>
    </xf>
    <xf numFmtId="3" fontId="5" fillId="2" borderId="14" xfId="0" applyNumberFormat="1" applyFont="1" applyFill="1" applyBorder="1" applyAlignment="1" applyProtection="1">
      <alignment horizontal="center" vertical="center" wrapText="1"/>
    </xf>
    <xf numFmtId="3" fontId="5" fillId="2" borderId="13" xfId="0" applyNumberFormat="1" applyFont="1" applyFill="1" applyBorder="1" applyAlignment="1" applyProtection="1">
      <alignment horizontal="center" vertical="center" wrapText="1"/>
    </xf>
    <xf numFmtId="3" fontId="5" fillId="2" borderId="10" xfId="0" applyNumberFormat="1" applyFont="1" applyFill="1" applyBorder="1" applyAlignment="1" applyProtection="1">
      <alignment horizontal="center" vertical="center" wrapText="1"/>
    </xf>
    <xf numFmtId="3" fontId="5" fillId="2" borderId="12" xfId="0" applyNumberFormat="1" applyFont="1" applyFill="1" applyBorder="1" applyAlignment="1" applyProtection="1">
      <alignment horizontal="center" vertical="center" wrapText="1"/>
    </xf>
    <xf numFmtId="0" fontId="5" fillId="0" borderId="2" xfId="0" applyFont="1" applyFill="1" applyBorder="1" applyAlignment="1" applyProtection="1">
      <alignment horizontal="left" vertical="center" wrapText="1" indent="1"/>
    </xf>
    <xf numFmtId="0" fontId="5" fillId="0" borderId="13" xfId="0" applyFont="1" applyFill="1" applyBorder="1" applyAlignment="1" applyProtection="1">
      <alignment horizontal="left" vertical="center" wrapText="1" indent="1"/>
    </xf>
    <xf numFmtId="0" fontId="5" fillId="2" borderId="2" xfId="0" applyFont="1" applyFill="1" applyBorder="1" applyAlignment="1" applyProtection="1">
      <alignment horizontal="center" vertical="center" wrapText="1"/>
    </xf>
    <xf numFmtId="0" fontId="5" fillId="2" borderId="13" xfId="0" applyFont="1" applyFill="1" applyBorder="1" applyAlignment="1" applyProtection="1">
      <alignment horizontal="center" vertical="center" wrapText="1"/>
    </xf>
    <xf numFmtId="0" fontId="5" fillId="2" borderId="14" xfId="0" applyFont="1" applyFill="1" applyBorder="1" applyAlignment="1" applyProtection="1">
      <alignment horizontal="center" vertical="center"/>
    </xf>
    <xf numFmtId="0" fontId="5" fillId="2" borderId="14" xfId="0" applyFont="1" applyFill="1" applyBorder="1" applyAlignment="1" applyProtection="1">
      <alignment horizontal="center" vertical="center" wrapText="1"/>
    </xf>
    <xf numFmtId="164" fontId="4" fillId="0" borderId="2" xfId="0" applyNumberFormat="1" applyFont="1" applyFill="1" applyBorder="1" applyAlignment="1" applyProtection="1">
      <alignment horizontal="right" vertical="center" indent="1"/>
    </xf>
    <xf numFmtId="164" fontId="4" fillId="0" borderId="14" xfId="0" applyNumberFormat="1" applyFont="1" applyFill="1" applyBorder="1" applyAlignment="1" applyProtection="1">
      <alignment horizontal="right" vertical="center" indent="1"/>
    </xf>
    <xf numFmtId="164" fontId="4" fillId="0" borderId="13" xfId="0" applyNumberFormat="1" applyFont="1" applyFill="1" applyBorder="1" applyAlignment="1" applyProtection="1">
      <alignment horizontal="right" vertical="center" indent="1"/>
    </xf>
    <xf numFmtId="0" fontId="5" fillId="2" borderId="1" xfId="0" applyFont="1" applyFill="1" applyBorder="1" applyAlignment="1" applyProtection="1">
      <alignment horizontal="center" vertical="center" wrapText="1"/>
    </xf>
    <xf numFmtId="164" fontId="5" fillId="2" borderId="2" xfId="0" applyNumberFormat="1" applyFont="1" applyFill="1" applyBorder="1" applyAlignment="1" applyProtection="1">
      <alignment horizontal="right" vertical="center" indent="1"/>
    </xf>
    <xf numFmtId="164" fontId="5" fillId="2" borderId="14" xfId="0" applyNumberFormat="1" applyFont="1" applyFill="1" applyBorder="1" applyAlignment="1" applyProtection="1">
      <alignment horizontal="right" vertical="center" indent="1"/>
    </xf>
    <xf numFmtId="164" fontId="5" fillId="2" borderId="13" xfId="0" applyNumberFormat="1" applyFont="1" applyFill="1" applyBorder="1" applyAlignment="1" applyProtection="1">
      <alignment horizontal="right" vertical="center" indent="1"/>
    </xf>
    <xf numFmtId="3" fontId="5" fillId="2" borderId="1" xfId="0" applyNumberFormat="1" applyFont="1" applyFill="1" applyBorder="1" applyAlignment="1" applyProtection="1">
      <alignment horizontal="center" vertical="center" wrapText="1"/>
    </xf>
    <xf numFmtId="0" fontId="5" fillId="2" borderId="1" xfId="0" applyFont="1" applyFill="1" applyBorder="1" applyAlignment="1" applyProtection="1">
      <alignment horizontal="right" vertical="center" indent="1"/>
    </xf>
    <xf numFmtId="0" fontId="5" fillId="2" borderId="10" xfId="0" applyFont="1" applyFill="1" applyBorder="1" applyAlignment="1" applyProtection="1">
      <alignment horizontal="center" vertical="center" wrapText="1"/>
    </xf>
    <xf numFmtId="0" fontId="5" fillId="2" borderId="12" xfId="0" applyFont="1" applyFill="1" applyBorder="1" applyAlignment="1" applyProtection="1">
      <alignment horizontal="center" vertical="center" wrapText="1"/>
    </xf>
    <xf numFmtId="0" fontId="5" fillId="2" borderId="2" xfId="0" applyFont="1" applyFill="1" applyBorder="1" applyAlignment="1" applyProtection="1">
      <alignment horizontal="right" vertical="center" indent="1"/>
    </xf>
    <xf numFmtId="0" fontId="5" fillId="2" borderId="13" xfId="0" applyFont="1" applyFill="1" applyBorder="1" applyAlignment="1" applyProtection="1">
      <alignment horizontal="right" vertical="center" indent="1"/>
    </xf>
  </cellXfs>
  <cellStyles count="5">
    <cellStyle name="Hyperlink 2" xfId="4"/>
    <cellStyle name="Lien hypertexte" xfId="2" builtinId="8"/>
    <cellStyle name="Milliers" xfId="1" builtinId="3"/>
    <cellStyle name="Normal" xfId="0" builtinId="0"/>
    <cellStyle name="Normal 2" xfId="3"/>
  </cellStyles>
  <dxfs count="652">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1"/>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1"/>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auto="1"/>
      </font>
      <fill>
        <patternFill>
          <bgColor rgb="FFFF0000"/>
        </patternFill>
      </fill>
      <border>
        <left style="thin">
          <color theme="1"/>
        </left>
        <right style="thin">
          <color theme="1"/>
        </right>
        <top style="thin">
          <color theme="1"/>
        </top>
        <bottom style="thin">
          <color theme="1"/>
        </bottom>
        <vertical/>
        <horizontal/>
      </border>
    </dxf>
    <dxf>
      <fill>
        <patternFill>
          <bgColor rgb="FFFFC000"/>
        </patternFill>
      </fill>
    </dxf>
    <dxf>
      <fill>
        <patternFill>
          <bgColor rgb="FFFF0000"/>
        </patternFill>
      </fill>
    </dxf>
    <dxf>
      <font>
        <b/>
        <i val="0"/>
        <color theme="1"/>
      </font>
      <fill>
        <patternFill>
          <bgColor rgb="FFFF0000"/>
        </patternFill>
      </fill>
    </dxf>
    <dxf>
      <fill>
        <patternFill>
          <bgColor rgb="FFFF0000"/>
        </patternFill>
      </fill>
    </dxf>
    <dxf>
      <fill>
        <patternFill>
          <bgColor rgb="FFFF0000"/>
        </patternFill>
      </fill>
    </dxf>
    <dxf>
      <font>
        <b/>
        <i val="0"/>
        <color theme="1"/>
      </font>
      <fill>
        <patternFill>
          <bgColor rgb="FFFF0000"/>
        </patternFill>
      </fill>
      <border>
        <left style="thin">
          <color theme="1"/>
        </left>
        <right style="thin">
          <color theme="1"/>
        </right>
        <top style="thin">
          <color theme="1"/>
        </top>
        <bottom style="thin">
          <color theme="1"/>
        </bottom>
        <vertical/>
        <horizontal/>
      </border>
    </dxf>
    <dxf>
      <font>
        <b/>
        <i val="0"/>
        <color theme="1"/>
      </font>
      <fill>
        <patternFill>
          <bgColor rgb="FFFF0000"/>
        </patternFill>
      </fill>
    </dxf>
    <dxf>
      <fill>
        <patternFill>
          <bgColor rgb="FFFF0000"/>
        </patternFill>
      </fill>
    </dxf>
    <dxf>
      <fill>
        <patternFill>
          <bgColor rgb="FFFF0000"/>
        </patternFill>
      </fill>
    </dxf>
    <dxf>
      <font>
        <b/>
        <i val="0"/>
        <color theme="1"/>
      </font>
      <fill>
        <patternFill>
          <bgColor rgb="FFFF0000"/>
        </patternFill>
      </fill>
      <border>
        <left style="thin">
          <color theme="1"/>
        </left>
        <right style="thin">
          <color theme="1"/>
        </right>
        <top style="thin">
          <color theme="1"/>
        </top>
        <bottom style="thin">
          <color theme="1"/>
        </bottom>
        <vertical/>
        <horizontal/>
      </border>
    </dxf>
  </dxfs>
  <tableStyles count="0" defaultTableStyle="TableStyleMedium2" defaultPivotStyle="PivotStyleLight16"/>
  <colors>
    <mruColors>
      <color rgb="FFF4740A"/>
      <color rgb="FFB8C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276225"/>
          <a:ext cx="0" cy="5586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123825"/>
          <a:ext cx="3052282" cy="87037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260350</xdr:colOff>
          <xdr:row>80</xdr:row>
          <xdr:rowOff>50800</xdr:rowOff>
        </xdr:from>
        <xdr:to>
          <xdr:col>1</xdr:col>
          <xdr:colOff>488950</xdr:colOff>
          <xdr:row>80</xdr:row>
          <xdr:rowOff>260350</xdr:rowOff>
        </xdr:to>
        <xdr:sp macro="" textlink="">
          <xdr:nvSpPr>
            <xdr:cNvPr id="63489" name="Check Box 1" hidden="1">
              <a:extLst>
                <a:ext uri="{63B3BB69-23CF-44E3-9099-C40C66FF867C}">
                  <a14:compatExt spid="_x0000_s63489"/>
                </a:ext>
              </a:extLst>
            </xdr:cNvPr>
            <xdr:cNvSpPr/>
          </xdr:nvSpPr>
          <xdr:spPr bwMode="auto">
            <a:xfrm>
              <a:off x="0" y="0"/>
              <a:ext cx="0" cy="0"/>
            </a:xfrm>
            <a:prstGeom prst="rect">
              <a:avLst/>
            </a:prstGeom>
            <a:solidFill>
              <a:srgbClr val="B8CCE4"/>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114300</xdr:rowOff>
        </xdr:from>
        <xdr:to>
          <xdr:col>5</xdr:col>
          <xdr:colOff>323850</xdr:colOff>
          <xdr:row>3</xdr:row>
          <xdr:rowOff>76200</xdr:rowOff>
        </xdr:to>
        <xdr:sp macro="" textlink="">
          <xdr:nvSpPr>
            <xdr:cNvPr id="70657" name="Button 5"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200" b="1" i="0" u="none" strike="noStrike" baseline="0">
                  <a:solidFill>
                    <a:srgbClr val="FF0000"/>
                  </a:solidFill>
                  <a:latin typeface="Calibri"/>
                  <a:cs typeface="Calibri"/>
                </a:rPr>
                <a:t>Inforeuro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3</xdr:row>
          <xdr:rowOff>146050</xdr:rowOff>
        </xdr:from>
        <xdr:to>
          <xdr:col>5</xdr:col>
          <xdr:colOff>323850</xdr:colOff>
          <xdr:row>6</xdr:row>
          <xdr:rowOff>38100</xdr:rowOff>
        </xdr:to>
        <xdr:sp macro="" textlink="">
          <xdr:nvSpPr>
            <xdr:cNvPr id="70658" name="Button 5" hidden="1">
              <a:extLst>
                <a:ext uri="{63B3BB69-23CF-44E3-9099-C40C66FF867C}">
                  <a14:compatExt spid="_x0000_s706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200" b="1" i="0" u="none" strike="noStrike" baseline="0">
                  <a:solidFill>
                    <a:srgbClr val="FF0000"/>
                  </a:solidFill>
                  <a:latin typeface="Calibri"/>
                  <a:cs typeface="Calibri"/>
                </a:rPr>
                <a:t>European </a:t>
              </a:r>
            </a:p>
            <a:p>
              <a:pPr algn="ctr" rtl="0">
                <a:defRPr sz="1000"/>
              </a:pPr>
              <a:r>
                <a:rPr lang="fr-FR" sz="1200" b="1" i="0" u="none" strike="noStrike" baseline="0">
                  <a:solidFill>
                    <a:srgbClr val="FF0000"/>
                  </a:solidFill>
                  <a:latin typeface="Calibri"/>
                  <a:cs typeface="Calibri"/>
                </a:rPr>
                <a:t>Central Bank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1</xdr:row>
          <xdr:rowOff>57150</xdr:rowOff>
        </xdr:from>
        <xdr:to>
          <xdr:col>1</xdr:col>
          <xdr:colOff>1479550</xdr:colOff>
          <xdr:row>1</xdr:row>
          <xdr:rowOff>527050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1</xdr:row>
          <xdr:rowOff>57150</xdr:rowOff>
        </xdr:from>
        <xdr:to>
          <xdr:col>2</xdr:col>
          <xdr:colOff>114300</xdr:colOff>
          <xdr:row>1</xdr:row>
          <xdr:rowOff>527050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xdr:row>
          <xdr:rowOff>57150</xdr:rowOff>
        </xdr:from>
        <xdr:to>
          <xdr:col>3</xdr:col>
          <xdr:colOff>876300</xdr:colOff>
          <xdr:row>1</xdr:row>
          <xdr:rowOff>527050</xdr:rowOff>
        </xdr:to>
        <xdr:sp macro="" textlink="">
          <xdr:nvSpPr>
            <xdr:cNvPr id="3231" name="Button 3" hidden="1">
              <a:extLst>
                <a:ext uri="{63B3BB69-23CF-44E3-9099-C40C66FF867C}">
                  <a14:compatExt spid="_x0000_s323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Duplicate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914400</xdr:colOff>
          <xdr:row>1</xdr:row>
          <xdr:rowOff>57150</xdr:rowOff>
        </xdr:from>
        <xdr:to>
          <xdr:col>3</xdr:col>
          <xdr:colOff>2343150</xdr:colOff>
          <xdr:row>1</xdr:row>
          <xdr:rowOff>527050</xdr:rowOff>
        </xdr:to>
        <xdr:sp macro="" textlink="">
          <xdr:nvSpPr>
            <xdr:cNvPr id="3234" name="Button 3" hidden="1">
              <a:extLst>
                <a:ext uri="{63B3BB69-23CF-44E3-9099-C40C66FF867C}">
                  <a14:compatExt spid="_x0000_s3234"/>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Export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914400</xdr:colOff>
          <xdr:row>1</xdr:row>
          <xdr:rowOff>57150</xdr:rowOff>
        </xdr:from>
        <xdr:to>
          <xdr:col>3</xdr:col>
          <xdr:colOff>2679700</xdr:colOff>
          <xdr:row>1</xdr:row>
          <xdr:rowOff>527050</xdr:rowOff>
        </xdr:to>
        <xdr:sp macro="" textlink="">
          <xdr:nvSpPr>
            <xdr:cNvPr id="5159" name="Button 4" hidden="1">
              <a:extLst>
                <a:ext uri="{63B3BB69-23CF-44E3-9099-C40C66FF867C}">
                  <a14:compatExt spid="_x0000_s51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57150</xdr:rowOff>
        </xdr:from>
        <xdr:to>
          <xdr:col>1</xdr:col>
          <xdr:colOff>1479550</xdr:colOff>
          <xdr:row>1</xdr:row>
          <xdr:rowOff>527050</xdr:rowOff>
        </xdr:to>
        <xdr:sp macro="" textlink="">
          <xdr:nvSpPr>
            <xdr:cNvPr id="5169" name="Button 1" hidden="1">
              <a:extLst>
                <a:ext uri="{63B3BB69-23CF-44E3-9099-C40C66FF867C}">
                  <a14:compatExt spid="_x0000_s516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1</xdr:row>
          <xdr:rowOff>57150</xdr:rowOff>
        </xdr:from>
        <xdr:to>
          <xdr:col>2</xdr:col>
          <xdr:colOff>114300</xdr:colOff>
          <xdr:row>1</xdr:row>
          <xdr:rowOff>527050</xdr:rowOff>
        </xdr:to>
        <xdr:sp macro="" textlink="">
          <xdr:nvSpPr>
            <xdr:cNvPr id="5170" name="Button 2" hidden="1">
              <a:extLst>
                <a:ext uri="{63B3BB69-23CF-44E3-9099-C40C66FF867C}">
                  <a14:compatExt spid="_x0000_s517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xdr:row>
          <xdr:rowOff>57150</xdr:rowOff>
        </xdr:from>
        <xdr:to>
          <xdr:col>3</xdr:col>
          <xdr:colOff>876300</xdr:colOff>
          <xdr:row>1</xdr:row>
          <xdr:rowOff>527050</xdr:rowOff>
        </xdr:to>
        <xdr:sp macro="" textlink="">
          <xdr:nvSpPr>
            <xdr:cNvPr id="5171" name="Button 3" hidden="1">
              <a:extLst>
                <a:ext uri="{63B3BB69-23CF-44E3-9099-C40C66FF867C}">
                  <a14:compatExt spid="_x0000_s517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Duplicate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2717800</xdr:colOff>
          <xdr:row>1</xdr:row>
          <xdr:rowOff>57150</xdr:rowOff>
        </xdr:from>
        <xdr:to>
          <xdr:col>4</xdr:col>
          <xdr:colOff>762000</xdr:colOff>
          <xdr:row>1</xdr:row>
          <xdr:rowOff>527050</xdr:rowOff>
        </xdr:to>
        <xdr:sp macro="" textlink="">
          <xdr:nvSpPr>
            <xdr:cNvPr id="5172" name="Button 3" hidden="1">
              <a:extLst>
                <a:ext uri="{63B3BB69-23CF-44E3-9099-C40C66FF867C}">
                  <a14:compatExt spid="_x0000_s517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Export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1</xdr:row>
          <xdr:rowOff>57150</xdr:rowOff>
        </xdr:from>
        <xdr:to>
          <xdr:col>1</xdr:col>
          <xdr:colOff>1479550</xdr:colOff>
          <xdr:row>1</xdr:row>
          <xdr:rowOff>527050</xdr:rowOff>
        </xdr:to>
        <xdr:sp macro="" textlink="">
          <xdr:nvSpPr>
            <xdr:cNvPr id="60438" name="Button 1" hidden="1">
              <a:extLst>
                <a:ext uri="{63B3BB69-23CF-44E3-9099-C40C66FF867C}">
                  <a14:compatExt spid="_x0000_s6043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1</xdr:row>
          <xdr:rowOff>57150</xdr:rowOff>
        </xdr:from>
        <xdr:to>
          <xdr:col>2</xdr:col>
          <xdr:colOff>114300</xdr:colOff>
          <xdr:row>1</xdr:row>
          <xdr:rowOff>527050</xdr:rowOff>
        </xdr:to>
        <xdr:sp macro="" textlink="">
          <xdr:nvSpPr>
            <xdr:cNvPr id="60439" name="Button 2" hidden="1">
              <a:extLst>
                <a:ext uri="{63B3BB69-23CF-44E3-9099-C40C66FF867C}">
                  <a14:compatExt spid="_x0000_s6043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xdr:row>
          <xdr:rowOff>50800</xdr:rowOff>
        </xdr:from>
        <xdr:to>
          <xdr:col>3</xdr:col>
          <xdr:colOff>869950</xdr:colOff>
          <xdr:row>1</xdr:row>
          <xdr:rowOff>527050</xdr:rowOff>
        </xdr:to>
        <xdr:sp macro="" textlink="">
          <xdr:nvSpPr>
            <xdr:cNvPr id="60440" name="Button 3" hidden="1">
              <a:extLst>
                <a:ext uri="{63B3BB69-23CF-44E3-9099-C40C66FF867C}">
                  <a14:compatExt spid="_x0000_s6044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Duplicate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927100</xdr:colOff>
          <xdr:row>1</xdr:row>
          <xdr:rowOff>50800</xdr:rowOff>
        </xdr:from>
        <xdr:to>
          <xdr:col>3</xdr:col>
          <xdr:colOff>2355850</xdr:colOff>
          <xdr:row>1</xdr:row>
          <xdr:rowOff>527050</xdr:rowOff>
        </xdr:to>
        <xdr:sp macro="" textlink="">
          <xdr:nvSpPr>
            <xdr:cNvPr id="60441" name="Button 3" hidden="1">
              <a:extLst>
                <a:ext uri="{63B3BB69-23CF-44E3-9099-C40C66FF867C}">
                  <a14:compatExt spid="_x0000_s6044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2413000</xdr:colOff>
          <xdr:row>1</xdr:row>
          <xdr:rowOff>50800</xdr:rowOff>
        </xdr:from>
        <xdr:to>
          <xdr:col>4</xdr:col>
          <xdr:colOff>450850</xdr:colOff>
          <xdr:row>1</xdr:row>
          <xdr:rowOff>527050</xdr:rowOff>
        </xdr:to>
        <xdr:sp macro="" textlink="">
          <xdr:nvSpPr>
            <xdr:cNvPr id="60447" name="Button 5" hidden="1">
              <a:extLst>
                <a:ext uri="{63B3BB69-23CF-44E3-9099-C40C66FF867C}">
                  <a14:compatExt spid="_x0000_s6044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Inforeuro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xdr:row>
          <xdr:rowOff>50800</xdr:rowOff>
        </xdr:from>
        <xdr:to>
          <xdr:col>4</xdr:col>
          <xdr:colOff>2946400</xdr:colOff>
          <xdr:row>1</xdr:row>
          <xdr:rowOff>527050</xdr:rowOff>
        </xdr:to>
        <xdr:sp macro="" textlink="">
          <xdr:nvSpPr>
            <xdr:cNvPr id="60448" name="Button 32" hidden="1">
              <a:extLst>
                <a:ext uri="{63B3BB69-23CF-44E3-9099-C40C66FF867C}">
                  <a14:compatExt spid="_x0000_s6044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European Central Bank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1</xdr:row>
          <xdr:rowOff>57150</xdr:rowOff>
        </xdr:from>
        <xdr:to>
          <xdr:col>1</xdr:col>
          <xdr:colOff>1479550</xdr:colOff>
          <xdr:row>1</xdr:row>
          <xdr:rowOff>527050</xdr:rowOff>
        </xdr:to>
        <xdr:sp macro="" textlink="">
          <xdr:nvSpPr>
            <xdr:cNvPr id="46107" name="Button 1" hidden="1">
              <a:extLst>
                <a:ext uri="{63B3BB69-23CF-44E3-9099-C40C66FF867C}">
                  <a14:compatExt spid="_x0000_s4610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1</xdr:row>
          <xdr:rowOff>57150</xdr:rowOff>
        </xdr:from>
        <xdr:to>
          <xdr:col>2</xdr:col>
          <xdr:colOff>114300</xdr:colOff>
          <xdr:row>1</xdr:row>
          <xdr:rowOff>527050</xdr:rowOff>
        </xdr:to>
        <xdr:sp macro="" textlink="">
          <xdr:nvSpPr>
            <xdr:cNvPr id="46108" name="Button 2" hidden="1">
              <a:extLst>
                <a:ext uri="{63B3BB69-23CF-44E3-9099-C40C66FF867C}">
                  <a14:compatExt spid="_x0000_s4610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xdr:row>
          <xdr:rowOff>57150</xdr:rowOff>
        </xdr:from>
        <xdr:to>
          <xdr:col>3</xdr:col>
          <xdr:colOff>876300</xdr:colOff>
          <xdr:row>1</xdr:row>
          <xdr:rowOff>527050</xdr:rowOff>
        </xdr:to>
        <xdr:sp macro="" textlink="">
          <xdr:nvSpPr>
            <xdr:cNvPr id="46109" name="Button 3" hidden="1">
              <a:extLst>
                <a:ext uri="{63B3BB69-23CF-44E3-9099-C40C66FF867C}">
                  <a14:compatExt spid="_x0000_s4610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Duplicate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927100</xdr:colOff>
          <xdr:row>1</xdr:row>
          <xdr:rowOff>57150</xdr:rowOff>
        </xdr:from>
        <xdr:to>
          <xdr:col>3</xdr:col>
          <xdr:colOff>2355850</xdr:colOff>
          <xdr:row>1</xdr:row>
          <xdr:rowOff>527050</xdr:rowOff>
        </xdr:to>
        <xdr:sp macro="" textlink="">
          <xdr:nvSpPr>
            <xdr:cNvPr id="46110" name="Button 3" hidden="1">
              <a:extLst>
                <a:ext uri="{63B3BB69-23CF-44E3-9099-C40C66FF867C}">
                  <a14:compatExt spid="_x0000_s4611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2413000</xdr:colOff>
          <xdr:row>1</xdr:row>
          <xdr:rowOff>50800</xdr:rowOff>
        </xdr:from>
        <xdr:to>
          <xdr:col>4</xdr:col>
          <xdr:colOff>450850</xdr:colOff>
          <xdr:row>1</xdr:row>
          <xdr:rowOff>527050</xdr:rowOff>
        </xdr:to>
        <xdr:sp macro="" textlink="">
          <xdr:nvSpPr>
            <xdr:cNvPr id="46118" name="Button 5" hidden="1">
              <a:extLst>
                <a:ext uri="{63B3BB69-23CF-44E3-9099-C40C66FF867C}">
                  <a14:compatExt spid="_x0000_s4611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Inforeuro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xdr:row>
          <xdr:rowOff>50800</xdr:rowOff>
        </xdr:from>
        <xdr:to>
          <xdr:col>4</xdr:col>
          <xdr:colOff>2946400</xdr:colOff>
          <xdr:row>1</xdr:row>
          <xdr:rowOff>527050</xdr:rowOff>
        </xdr:to>
        <xdr:sp macro="" textlink="">
          <xdr:nvSpPr>
            <xdr:cNvPr id="46119" name="Button 39" hidden="1">
              <a:extLst>
                <a:ext uri="{63B3BB69-23CF-44E3-9099-C40C66FF867C}">
                  <a14:compatExt spid="_x0000_s4611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European Central Bank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1</xdr:row>
          <xdr:rowOff>57150</xdr:rowOff>
        </xdr:from>
        <xdr:to>
          <xdr:col>1</xdr:col>
          <xdr:colOff>1479550</xdr:colOff>
          <xdr:row>1</xdr:row>
          <xdr:rowOff>527050</xdr:rowOff>
        </xdr:to>
        <xdr:sp macro="" textlink="">
          <xdr:nvSpPr>
            <xdr:cNvPr id="35876" name="Button 1" hidden="1">
              <a:extLst>
                <a:ext uri="{63B3BB69-23CF-44E3-9099-C40C66FF867C}">
                  <a14:compatExt spid="_x0000_s35876"/>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1524000</xdr:colOff>
          <xdr:row>1</xdr:row>
          <xdr:rowOff>57150</xdr:rowOff>
        </xdr:from>
        <xdr:to>
          <xdr:col>1</xdr:col>
          <xdr:colOff>2965450</xdr:colOff>
          <xdr:row>1</xdr:row>
          <xdr:rowOff>527050</xdr:rowOff>
        </xdr:to>
        <xdr:sp macro="" textlink="">
          <xdr:nvSpPr>
            <xdr:cNvPr id="35877" name="Button 2" hidden="1">
              <a:extLst>
                <a:ext uri="{63B3BB69-23CF-44E3-9099-C40C66FF867C}">
                  <a14:compatExt spid="_x0000_s3587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3009900</xdr:colOff>
          <xdr:row>1</xdr:row>
          <xdr:rowOff>57150</xdr:rowOff>
        </xdr:from>
        <xdr:to>
          <xdr:col>2</xdr:col>
          <xdr:colOff>876300</xdr:colOff>
          <xdr:row>1</xdr:row>
          <xdr:rowOff>527050</xdr:rowOff>
        </xdr:to>
        <xdr:sp macro="" textlink="">
          <xdr:nvSpPr>
            <xdr:cNvPr id="35878" name="Button 3" hidden="1">
              <a:extLst>
                <a:ext uri="{63B3BB69-23CF-44E3-9099-C40C66FF867C}">
                  <a14:compatExt spid="_x0000_s3587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Duplicate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xdr:row>
          <xdr:rowOff>57150</xdr:rowOff>
        </xdr:from>
        <xdr:to>
          <xdr:col>2</xdr:col>
          <xdr:colOff>2343150</xdr:colOff>
          <xdr:row>1</xdr:row>
          <xdr:rowOff>527050</xdr:rowOff>
        </xdr:to>
        <xdr:sp macro="" textlink="">
          <xdr:nvSpPr>
            <xdr:cNvPr id="35879" name="Button 3" hidden="1">
              <a:extLst>
                <a:ext uri="{63B3BB69-23CF-44E3-9099-C40C66FF867C}">
                  <a14:compatExt spid="_x0000_s3587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1" i="0" u="none" strike="noStrike" baseline="0">
                  <a:solidFill>
                    <a:srgbClr val="FF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6.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B1:D135"/>
  <sheetViews>
    <sheetView showGridLines="0" topLeftCell="B102" zoomScaleNormal="100" zoomScaleSheetLayoutView="100" workbookViewId="0">
      <selection activeCell="B2" sqref="B2:D2"/>
    </sheetView>
  </sheetViews>
  <sheetFormatPr baseColWidth="10" defaultColWidth="9.1796875" defaultRowHeight="12.75" customHeight="1" x14ac:dyDescent="0.25"/>
  <cols>
    <col min="1" max="1" width="0.81640625" style="95" customWidth="1"/>
    <col min="2" max="2" width="1.7265625" style="95" customWidth="1"/>
    <col min="3" max="3" width="104.1796875" style="95" customWidth="1"/>
    <col min="4" max="4" width="0.81640625" style="95" customWidth="1"/>
    <col min="5" max="5" width="1.7265625" style="95" customWidth="1"/>
    <col min="6" max="16384" width="9.1796875" style="95"/>
  </cols>
  <sheetData>
    <row r="1" spans="2:4" ht="5.15" customHeight="1" x14ac:dyDescent="0.25"/>
    <row r="2" spans="2:4" ht="20.149999999999999" customHeight="1" x14ac:dyDescent="0.25">
      <c r="B2" s="221" t="s">
        <v>481</v>
      </c>
      <c r="C2" s="221"/>
      <c r="D2" s="221"/>
    </row>
    <row r="3" spans="2:4" s="99" customFormat="1" ht="5.15" customHeight="1" x14ac:dyDescent="0.25">
      <c r="B3" s="96"/>
      <c r="C3" s="97"/>
      <c r="D3" s="98"/>
    </row>
    <row r="4" spans="2:4" s="99" customFormat="1" ht="12.75" customHeight="1" x14ac:dyDescent="0.25">
      <c r="B4" s="100"/>
      <c r="C4" s="101" t="s">
        <v>257</v>
      </c>
      <c r="D4" s="102"/>
    </row>
    <row r="5" spans="2:4" s="99" customFormat="1" ht="5.15" customHeight="1" x14ac:dyDescent="0.25">
      <c r="B5" s="100"/>
      <c r="C5" s="101"/>
      <c r="D5" s="102"/>
    </row>
    <row r="6" spans="2:4" s="99" customFormat="1" ht="12.75" customHeight="1" x14ac:dyDescent="0.25">
      <c r="B6" s="100"/>
      <c r="C6" s="101" t="s">
        <v>275</v>
      </c>
      <c r="D6" s="102"/>
    </row>
    <row r="7" spans="2:4" s="99" customFormat="1" ht="12.75" customHeight="1" x14ac:dyDescent="0.25">
      <c r="B7" s="100"/>
      <c r="C7" s="101" t="s">
        <v>233</v>
      </c>
      <c r="D7" s="102"/>
    </row>
    <row r="8" spans="2:4" s="99" customFormat="1" ht="12.75" customHeight="1" x14ac:dyDescent="0.25">
      <c r="B8" s="100"/>
      <c r="C8" s="101" t="s">
        <v>234</v>
      </c>
      <c r="D8" s="102"/>
    </row>
    <row r="9" spans="2:4" s="99" customFormat="1" ht="12.75" customHeight="1" x14ac:dyDescent="0.25">
      <c r="B9" s="100"/>
      <c r="C9" s="101" t="s">
        <v>276</v>
      </c>
      <c r="D9" s="102"/>
    </row>
    <row r="10" spans="2:4" s="99" customFormat="1" ht="5.15" customHeight="1" x14ac:dyDescent="0.25">
      <c r="B10" s="100"/>
      <c r="C10" s="101"/>
      <c r="D10" s="102"/>
    </row>
    <row r="11" spans="2:4" s="99" customFormat="1" ht="12.75" customHeight="1" x14ac:dyDescent="0.25">
      <c r="B11" s="100"/>
      <c r="C11" s="103" t="s">
        <v>235</v>
      </c>
      <c r="D11" s="102"/>
    </row>
    <row r="12" spans="2:4" s="99" customFormat="1" ht="12.75" customHeight="1" x14ac:dyDescent="0.25">
      <c r="B12" s="100"/>
      <c r="C12" s="101" t="s">
        <v>277</v>
      </c>
      <c r="D12" s="102"/>
    </row>
    <row r="13" spans="2:4" s="99" customFormat="1" ht="57" customHeight="1" x14ac:dyDescent="0.25">
      <c r="B13" s="100"/>
      <c r="C13" s="101" t="s">
        <v>278</v>
      </c>
      <c r="D13" s="102"/>
    </row>
    <row r="14" spans="2:4" s="99" customFormat="1" ht="5.15" customHeight="1" x14ac:dyDescent="0.25">
      <c r="B14" s="104"/>
      <c r="C14" s="105"/>
      <c r="D14" s="106"/>
    </row>
    <row r="15" spans="2:4" s="99" customFormat="1" ht="5.15" customHeight="1" x14ac:dyDescent="0.25">
      <c r="C15" s="101"/>
    </row>
    <row r="16" spans="2:4" ht="20.149999999999999" customHeight="1" x14ac:dyDescent="0.25">
      <c r="B16" s="221" t="s">
        <v>237</v>
      </c>
      <c r="C16" s="221"/>
      <c r="D16" s="221"/>
    </row>
    <row r="17" spans="2:4" ht="5.15" customHeight="1" x14ac:dyDescent="0.25">
      <c r="B17" s="112"/>
      <c r="C17" s="97"/>
      <c r="D17" s="113"/>
    </row>
    <row r="18" spans="2:4" s="99" customFormat="1" ht="12.75" customHeight="1" x14ac:dyDescent="0.25">
      <c r="B18" s="100"/>
      <c r="C18" s="101" t="s">
        <v>530</v>
      </c>
      <c r="D18" s="102"/>
    </row>
    <row r="19" spans="2:4" s="99" customFormat="1" ht="5.15" customHeight="1" x14ac:dyDescent="0.25">
      <c r="B19" s="100"/>
      <c r="C19" s="101"/>
      <c r="D19" s="102"/>
    </row>
    <row r="20" spans="2:4" s="99" customFormat="1" ht="12.75" customHeight="1" x14ac:dyDescent="0.25">
      <c r="B20" s="100"/>
      <c r="C20" s="101" t="s">
        <v>285</v>
      </c>
      <c r="D20" s="102"/>
    </row>
    <row r="21" spans="2:4" s="99" customFormat="1" ht="5.15" customHeight="1" x14ac:dyDescent="0.25">
      <c r="B21" s="100"/>
      <c r="C21" s="101"/>
      <c r="D21" s="102"/>
    </row>
    <row r="22" spans="2:4" s="99" customFormat="1" ht="37.5" x14ac:dyDescent="0.25">
      <c r="B22" s="100"/>
      <c r="C22" s="101" t="s">
        <v>280</v>
      </c>
      <c r="D22" s="102"/>
    </row>
    <row r="23" spans="2:4" s="99" customFormat="1" ht="5.15" customHeight="1" x14ac:dyDescent="0.25">
      <c r="B23" s="100"/>
      <c r="C23" s="101"/>
      <c r="D23" s="102"/>
    </row>
    <row r="24" spans="2:4" s="99" customFormat="1" ht="12.75" customHeight="1" x14ac:dyDescent="0.25">
      <c r="B24" s="100"/>
      <c r="C24" s="101" t="s">
        <v>236</v>
      </c>
      <c r="D24" s="102"/>
    </row>
    <row r="25" spans="2:4" s="99" customFormat="1" ht="5.15" customHeight="1" x14ac:dyDescent="0.25">
      <c r="B25" s="100"/>
      <c r="C25" s="101"/>
      <c r="D25" s="102"/>
    </row>
    <row r="26" spans="2:4" s="99" customFormat="1" ht="11.25" customHeight="1" x14ac:dyDescent="0.3">
      <c r="B26" s="124" t="s">
        <v>262</v>
      </c>
      <c r="C26" s="123" t="s">
        <v>263</v>
      </c>
      <c r="D26" s="102"/>
    </row>
    <row r="27" spans="2:4" s="99" customFormat="1" ht="25" x14ac:dyDescent="0.25">
      <c r="B27" s="100"/>
      <c r="C27" s="101" t="s">
        <v>286</v>
      </c>
      <c r="D27" s="102"/>
    </row>
    <row r="28" spans="2:4" s="99" customFormat="1" ht="25" x14ac:dyDescent="0.25">
      <c r="B28" s="100"/>
      <c r="C28" s="101" t="s">
        <v>403</v>
      </c>
      <c r="D28" s="102"/>
    </row>
    <row r="29" spans="2:4" s="99" customFormat="1" ht="5.15" customHeight="1" x14ac:dyDescent="0.25">
      <c r="B29" s="100"/>
      <c r="C29" s="101"/>
      <c r="D29" s="102"/>
    </row>
    <row r="30" spans="2:4" s="99" customFormat="1" ht="13" x14ac:dyDescent="0.3">
      <c r="B30" s="124" t="s">
        <v>262</v>
      </c>
      <c r="C30" s="123" t="s">
        <v>264</v>
      </c>
      <c r="D30" s="102"/>
    </row>
    <row r="31" spans="2:4" s="99" customFormat="1" ht="25" x14ac:dyDescent="0.25">
      <c r="B31" s="100"/>
      <c r="C31" s="101" t="s">
        <v>404</v>
      </c>
      <c r="D31" s="102"/>
    </row>
    <row r="32" spans="2:4" s="99" customFormat="1" ht="5.15" customHeight="1" x14ac:dyDescent="0.25">
      <c r="B32" s="100"/>
      <c r="C32" s="101"/>
      <c r="D32" s="102"/>
    </row>
    <row r="33" spans="2:4" s="99" customFormat="1" ht="25.5" x14ac:dyDescent="0.25">
      <c r="B33" s="100"/>
      <c r="C33" s="101" t="s">
        <v>526</v>
      </c>
      <c r="D33" s="102"/>
    </row>
    <row r="34" spans="2:4" s="99" customFormat="1" ht="5.15" customHeight="1" x14ac:dyDescent="0.25">
      <c r="B34" s="100"/>
      <c r="C34" s="101"/>
      <c r="D34" s="102"/>
    </row>
    <row r="35" spans="2:4" s="99" customFormat="1" ht="12.5" x14ac:dyDescent="0.25">
      <c r="B35" s="100"/>
      <c r="C35" s="101" t="s">
        <v>251</v>
      </c>
      <c r="D35" s="102"/>
    </row>
    <row r="36" spans="2:4" s="99" customFormat="1" ht="12.5" x14ac:dyDescent="0.25">
      <c r="B36" s="100"/>
      <c r="C36" s="101" t="s">
        <v>252</v>
      </c>
      <c r="D36" s="102"/>
    </row>
    <row r="37" spans="2:4" s="99" customFormat="1" ht="25" x14ac:dyDescent="0.25">
      <c r="B37" s="100"/>
      <c r="C37" s="101" t="s">
        <v>253</v>
      </c>
      <c r="D37" s="102"/>
    </row>
    <row r="38" spans="2:4" s="99" customFormat="1" ht="12.5" x14ac:dyDescent="0.25">
      <c r="B38" s="100"/>
      <c r="C38" s="101" t="s">
        <v>480</v>
      </c>
      <c r="D38" s="102"/>
    </row>
    <row r="39" spans="2:4" s="99" customFormat="1" ht="5.15" customHeight="1" x14ac:dyDescent="0.25">
      <c r="B39" s="100"/>
      <c r="C39" s="101"/>
      <c r="D39" s="102"/>
    </row>
    <row r="40" spans="2:4" s="99" customFormat="1" ht="17.25" customHeight="1" x14ac:dyDescent="0.3">
      <c r="B40" s="124" t="s">
        <v>262</v>
      </c>
      <c r="C40" s="101" t="s">
        <v>265</v>
      </c>
      <c r="D40" s="102"/>
    </row>
    <row r="41" spans="2:4" s="99" customFormat="1" ht="25.5" x14ac:dyDescent="0.25">
      <c r="B41" s="125" t="s">
        <v>262</v>
      </c>
      <c r="C41" s="101" t="s">
        <v>279</v>
      </c>
      <c r="D41" s="102"/>
    </row>
    <row r="42" spans="2:4" s="99" customFormat="1" ht="5.15" customHeight="1" x14ac:dyDescent="0.25">
      <c r="B42" s="100"/>
      <c r="C42" s="101"/>
      <c r="D42" s="102"/>
    </row>
    <row r="43" spans="2:4" s="99" customFormat="1" ht="25" x14ac:dyDescent="0.25">
      <c r="B43" s="100"/>
      <c r="C43" s="101" t="s">
        <v>258</v>
      </c>
      <c r="D43" s="102"/>
    </row>
    <row r="44" spans="2:4" s="99" customFormat="1" ht="64" x14ac:dyDescent="0.25">
      <c r="B44" s="104"/>
      <c r="C44" s="105" t="s">
        <v>405</v>
      </c>
      <c r="D44" s="106"/>
    </row>
    <row r="45" spans="2:4" s="99" customFormat="1" ht="5.15" customHeight="1" x14ac:dyDescent="0.25">
      <c r="C45" s="101"/>
    </row>
    <row r="46" spans="2:4" s="99" customFormat="1" ht="20.149999999999999" customHeight="1" x14ac:dyDescent="0.25">
      <c r="B46" s="221" t="s">
        <v>398</v>
      </c>
      <c r="C46" s="221"/>
      <c r="D46" s="221"/>
    </row>
    <row r="47" spans="2:4" s="99" customFormat="1" ht="5.15" customHeight="1" x14ac:dyDescent="0.25">
      <c r="B47" s="96"/>
      <c r="C47" s="111"/>
      <c r="D47" s="98"/>
    </row>
    <row r="48" spans="2:4" s="99" customFormat="1" ht="14.25" customHeight="1" x14ac:dyDescent="0.25">
      <c r="B48" s="100"/>
      <c r="C48" s="101" t="s">
        <v>259</v>
      </c>
      <c r="D48" s="102"/>
    </row>
    <row r="49" spans="2:4" s="99" customFormat="1" ht="5.15" customHeight="1" x14ac:dyDescent="0.25">
      <c r="B49" s="100"/>
      <c r="C49" s="101"/>
      <c r="D49" s="102"/>
    </row>
    <row r="50" spans="2:4" s="99" customFormat="1" ht="12.5" x14ac:dyDescent="0.25">
      <c r="B50" s="100"/>
      <c r="C50" s="101" t="s">
        <v>245</v>
      </c>
      <c r="D50" s="102"/>
    </row>
    <row r="51" spans="2:4" s="99" customFormat="1" ht="25" x14ac:dyDescent="0.25">
      <c r="B51" s="100"/>
      <c r="C51" s="101" t="s">
        <v>266</v>
      </c>
      <c r="D51" s="102"/>
    </row>
    <row r="52" spans="2:4" s="99" customFormat="1" ht="26" x14ac:dyDescent="0.25">
      <c r="B52" s="100"/>
      <c r="C52" s="101" t="s">
        <v>272</v>
      </c>
      <c r="D52" s="102"/>
    </row>
    <row r="53" spans="2:4" s="99" customFormat="1" ht="12.5" x14ac:dyDescent="0.25">
      <c r="B53" s="100"/>
      <c r="C53" s="101" t="s">
        <v>246</v>
      </c>
      <c r="D53" s="102"/>
    </row>
    <row r="54" spans="2:4" s="99" customFormat="1" ht="37.5" x14ac:dyDescent="0.25">
      <c r="B54" s="100"/>
      <c r="C54" s="101" t="s">
        <v>479</v>
      </c>
      <c r="D54" s="102"/>
    </row>
    <row r="55" spans="2:4" s="99" customFormat="1" ht="40.5" customHeight="1" x14ac:dyDescent="0.25">
      <c r="B55" s="100"/>
      <c r="C55" s="101" t="s">
        <v>273</v>
      </c>
      <c r="D55" s="102"/>
    </row>
    <row r="56" spans="2:4" s="99" customFormat="1" ht="12.5" x14ac:dyDescent="0.25">
      <c r="B56" s="100"/>
      <c r="C56" s="101" t="s">
        <v>238</v>
      </c>
      <c r="D56" s="102"/>
    </row>
    <row r="57" spans="2:4" s="99" customFormat="1" ht="12.5" x14ac:dyDescent="0.25">
      <c r="B57" s="100"/>
      <c r="C57" s="101" t="s">
        <v>274</v>
      </c>
      <c r="D57" s="102"/>
    </row>
    <row r="58" spans="2:4" s="99" customFormat="1" ht="12.5" x14ac:dyDescent="0.25">
      <c r="B58" s="100"/>
      <c r="C58" s="101" t="s">
        <v>239</v>
      </c>
      <c r="D58" s="102"/>
    </row>
    <row r="59" spans="2:4" s="99" customFormat="1" ht="5.15" customHeight="1" x14ac:dyDescent="0.25">
      <c r="B59" s="104"/>
      <c r="C59" s="105"/>
      <c r="D59" s="106"/>
    </row>
    <row r="60" spans="2:4" s="99" customFormat="1" ht="5.15" customHeight="1" x14ac:dyDescent="0.25">
      <c r="C60" s="101"/>
    </row>
    <row r="61" spans="2:4" s="99" customFormat="1" ht="20.149999999999999" customHeight="1" x14ac:dyDescent="0.25">
      <c r="B61" s="222" t="s">
        <v>397</v>
      </c>
      <c r="C61" s="223"/>
      <c r="D61" s="224"/>
    </row>
    <row r="62" spans="2:4" ht="5.15" customHeight="1" x14ac:dyDescent="0.25">
      <c r="B62" s="96"/>
      <c r="C62" s="111"/>
      <c r="D62" s="98"/>
    </row>
    <row r="63" spans="2:4" ht="226" x14ac:dyDescent="0.25">
      <c r="B63" s="100"/>
      <c r="C63" s="101" t="s">
        <v>531</v>
      </c>
      <c r="D63" s="102"/>
    </row>
    <row r="64" spans="2:4" s="99" customFormat="1" ht="5.15" customHeight="1" x14ac:dyDescent="0.25">
      <c r="B64" s="104"/>
      <c r="C64" s="105"/>
      <c r="D64" s="106"/>
    </row>
    <row r="65" spans="2:4" s="99" customFormat="1" ht="5.15" customHeight="1" x14ac:dyDescent="0.25">
      <c r="C65" s="101"/>
    </row>
    <row r="66" spans="2:4" s="99" customFormat="1" ht="20.149999999999999" customHeight="1" x14ac:dyDescent="0.25">
      <c r="B66" s="222" t="s">
        <v>399</v>
      </c>
      <c r="C66" s="223"/>
      <c r="D66" s="224"/>
    </row>
    <row r="67" spans="2:4" s="99" customFormat="1" ht="5.15" customHeight="1" x14ac:dyDescent="0.25">
      <c r="B67" s="96"/>
      <c r="C67" s="111"/>
      <c r="D67" s="98"/>
    </row>
    <row r="68" spans="2:4" s="99" customFormat="1" ht="12.5" x14ac:dyDescent="0.25">
      <c r="B68" s="100"/>
      <c r="C68" s="101" t="s">
        <v>259</v>
      </c>
      <c r="D68" s="102"/>
    </row>
    <row r="69" spans="2:4" s="99" customFormat="1" ht="5.15" customHeight="1" x14ac:dyDescent="0.25">
      <c r="B69" s="100"/>
      <c r="C69" s="101"/>
      <c r="D69" s="102"/>
    </row>
    <row r="70" spans="2:4" s="99" customFormat="1" ht="12.5" x14ac:dyDescent="0.25">
      <c r="B70" s="100"/>
      <c r="C70" s="101" t="s">
        <v>240</v>
      </c>
      <c r="D70" s="102"/>
    </row>
    <row r="71" spans="2:4" s="99" customFormat="1" ht="12.5" x14ac:dyDescent="0.25">
      <c r="B71" s="100"/>
      <c r="C71" s="101" t="s">
        <v>241</v>
      </c>
      <c r="D71" s="102"/>
    </row>
    <row r="72" spans="2:4" s="99" customFormat="1" ht="12.5" x14ac:dyDescent="0.25">
      <c r="B72" s="100"/>
      <c r="C72" s="101" t="s">
        <v>242</v>
      </c>
      <c r="D72" s="102"/>
    </row>
    <row r="73" spans="2:4" s="99" customFormat="1" ht="12.5" x14ac:dyDescent="0.25">
      <c r="B73" s="100"/>
      <c r="C73" s="101" t="s">
        <v>243</v>
      </c>
      <c r="D73" s="102"/>
    </row>
    <row r="74" spans="2:4" s="99" customFormat="1" ht="25" x14ac:dyDescent="0.25">
      <c r="B74" s="100"/>
      <c r="C74" s="101" t="s">
        <v>267</v>
      </c>
      <c r="D74" s="102"/>
    </row>
    <row r="75" spans="2:4" s="99" customFormat="1" ht="12.5" x14ac:dyDescent="0.25">
      <c r="B75" s="100"/>
      <c r="C75" s="101" t="s">
        <v>409</v>
      </c>
      <c r="D75" s="102"/>
    </row>
    <row r="76" spans="2:4" s="99" customFormat="1" ht="12.5" x14ac:dyDescent="0.25">
      <c r="B76" s="100"/>
      <c r="C76" s="101" t="s">
        <v>244</v>
      </c>
      <c r="D76" s="102"/>
    </row>
    <row r="77" spans="2:4" s="99" customFormat="1" ht="12.5" x14ac:dyDescent="0.25">
      <c r="B77" s="100"/>
      <c r="C77" s="101" t="s">
        <v>281</v>
      </c>
      <c r="D77" s="102"/>
    </row>
    <row r="78" spans="2:4" s="99" customFormat="1" ht="12.5" x14ac:dyDescent="0.25">
      <c r="B78" s="100"/>
      <c r="C78" s="101" t="s">
        <v>282</v>
      </c>
      <c r="D78" s="102"/>
    </row>
    <row r="79" spans="2:4" s="99" customFormat="1" ht="50" x14ac:dyDescent="0.25">
      <c r="B79" s="100"/>
      <c r="C79" s="101" t="s">
        <v>413</v>
      </c>
      <c r="D79" s="102"/>
    </row>
    <row r="80" spans="2:4" s="99" customFormat="1" ht="12.5" x14ac:dyDescent="0.25">
      <c r="B80" s="100"/>
      <c r="C80" s="101" t="s">
        <v>406</v>
      </c>
      <c r="D80" s="102"/>
    </row>
    <row r="81" spans="2:4" s="99" customFormat="1" ht="5.15" customHeight="1" x14ac:dyDescent="0.25">
      <c r="B81" s="104"/>
      <c r="C81" s="105"/>
      <c r="D81" s="106"/>
    </row>
    <row r="82" spans="2:4" s="99" customFormat="1" ht="5.15" customHeight="1" x14ac:dyDescent="0.25">
      <c r="C82" s="101"/>
    </row>
    <row r="83" spans="2:4" s="99" customFormat="1" ht="20.149999999999999" customHeight="1" x14ac:dyDescent="0.25">
      <c r="B83" s="225" t="s">
        <v>410</v>
      </c>
      <c r="C83" s="225"/>
      <c r="D83" s="225"/>
    </row>
    <row r="84" spans="2:4" s="99" customFormat="1" ht="5.15" customHeight="1" x14ac:dyDescent="0.25">
      <c r="B84" s="96"/>
      <c r="C84" s="111"/>
      <c r="D84" s="98"/>
    </row>
    <row r="85" spans="2:4" s="99" customFormat="1" ht="12.5" x14ac:dyDescent="0.25">
      <c r="B85" s="100"/>
      <c r="C85" s="101" t="s">
        <v>259</v>
      </c>
      <c r="D85" s="102"/>
    </row>
    <row r="86" spans="2:4" s="99" customFormat="1" ht="5.15" customHeight="1" x14ac:dyDescent="0.25">
      <c r="B86" s="100"/>
      <c r="C86" s="101"/>
      <c r="D86" s="102"/>
    </row>
    <row r="87" spans="2:4" s="99" customFormat="1" ht="13" x14ac:dyDescent="0.25">
      <c r="B87" s="100"/>
      <c r="C87" s="122" t="s">
        <v>261</v>
      </c>
      <c r="D87" s="102"/>
    </row>
    <row r="88" spans="2:4" s="99" customFormat="1" ht="5.15" customHeight="1" x14ac:dyDescent="0.25">
      <c r="B88" s="100"/>
      <c r="C88" s="101"/>
      <c r="D88" s="102"/>
    </row>
    <row r="89" spans="2:4" s="99" customFormat="1" ht="12.5" x14ac:dyDescent="0.25">
      <c r="B89" s="100"/>
      <c r="C89" s="101" t="s">
        <v>240</v>
      </c>
      <c r="D89" s="102"/>
    </row>
    <row r="90" spans="2:4" s="99" customFormat="1" ht="12.5" x14ac:dyDescent="0.25">
      <c r="B90" s="100"/>
      <c r="C90" s="101" t="s">
        <v>241</v>
      </c>
      <c r="D90" s="102"/>
    </row>
    <row r="91" spans="2:4" s="99" customFormat="1" ht="12.5" x14ac:dyDescent="0.25">
      <c r="B91" s="100"/>
      <c r="C91" s="101" t="s">
        <v>242</v>
      </c>
      <c r="D91" s="102"/>
    </row>
    <row r="92" spans="2:4" s="99" customFormat="1" ht="12.5" x14ac:dyDescent="0.25">
      <c r="B92" s="100"/>
      <c r="C92" s="101" t="s">
        <v>247</v>
      </c>
      <c r="D92" s="102"/>
    </row>
    <row r="93" spans="2:4" s="99" customFormat="1" ht="12.5" x14ac:dyDescent="0.25">
      <c r="B93" s="100"/>
      <c r="C93" s="101" t="s">
        <v>477</v>
      </c>
      <c r="D93" s="102"/>
    </row>
    <row r="94" spans="2:4" s="99" customFormat="1" ht="12.5" x14ac:dyDescent="0.25">
      <c r="B94" s="100"/>
      <c r="C94" s="101" t="s">
        <v>478</v>
      </c>
      <c r="D94" s="102"/>
    </row>
    <row r="95" spans="2:4" s="99" customFormat="1" ht="12.5" x14ac:dyDescent="0.25">
      <c r="B95" s="100"/>
      <c r="C95" s="101" t="s">
        <v>409</v>
      </c>
      <c r="D95" s="102"/>
    </row>
    <row r="96" spans="2:4" s="99" customFormat="1" ht="12.5" x14ac:dyDescent="0.25">
      <c r="B96" s="100"/>
      <c r="C96" s="101" t="s">
        <v>268</v>
      </c>
      <c r="D96" s="102"/>
    </row>
    <row r="97" spans="2:4" s="99" customFormat="1" ht="12.5" x14ac:dyDescent="0.25">
      <c r="B97" s="100"/>
      <c r="C97" s="101" t="s">
        <v>269</v>
      </c>
      <c r="D97" s="102"/>
    </row>
    <row r="98" spans="2:4" s="99" customFormat="1" ht="5.15" customHeight="1" x14ac:dyDescent="0.25">
      <c r="B98" s="100"/>
      <c r="C98" s="101"/>
      <c r="D98" s="102"/>
    </row>
    <row r="99" spans="2:4" s="99" customFormat="1" ht="18.75" customHeight="1" x14ac:dyDescent="0.25">
      <c r="B99" s="100"/>
      <c r="C99" s="101" t="s">
        <v>270</v>
      </c>
      <c r="D99" s="102"/>
    </row>
    <row r="100" spans="2:4" s="99" customFormat="1" ht="67.5" customHeight="1" x14ac:dyDescent="0.25">
      <c r="B100" s="100"/>
      <c r="C100" s="101" t="s">
        <v>412</v>
      </c>
      <c r="D100" s="102"/>
    </row>
    <row r="101" spans="2:4" s="99" customFormat="1" ht="42.75" customHeight="1" x14ac:dyDescent="0.25">
      <c r="B101" s="100"/>
      <c r="C101" s="101" t="s">
        <v>283</v>
      </c>
      <c r="D101" s="102"/>
    </row>
    <row r="102" spans="2:4" s="99" customFormat="1" ht="12.5" x14ac:dyDescent="0.25">
      <c r="B102" s="100"/>
      <c r="C102" s="101" t="s">
        <v>402</v>
      </c>
      <c r="D102" s="102"/>
    </row>
    <row r="103" spans="2:4" s="99" customFormat="1" ht="5.15" customHeight="1" x14ac:dyDescent="0.25">
      <c r="B103" s="104"/>
      <c r="C103" s="105"/>
      <c r="D103" s="106"/>
    </row>
    <row r="104" spans="2:4" s="99" customFormat="1" ht="5.15" customHeight="1" x14ac:dyDescent="0.25">
      <c r="C104" s="101"/>
    </row>
    <row r="105" spans="2:4" s="99" customFormat="1" ht="20.149999999999999" customHeight="1" x14ac:dyDescent="0.25">
      <c r="B105" s="222" t="s">
        <v>529</v>
      </c>
      <c r="C105" s="223"/>
      <c r="D105" s="224"/>
    </row>
    <row r="106" spans="2:4" s="99" customFormat="1" ht="5.15" customHeight="1" x14ac:dyDescent="0.25">
      <c r="B106" s="96"/>
      <c r="C106" s="111"/>
      <c r="D106" s="98"/>
    </row>
    <row r="107" spans="2:4" s="99" customFormat="1" ht="12.5" x14ac:dyDescent="0.25">
      <c r="B107" s="100"/>
      <c r="C107" s="101" t="s">
        <v>259</v>
      </c>
      <c r="D107" s="102"/>
    </row>
    <row r="108" spans="2:4" s="99" customFormat="1" ht="5.15" customHeight="1" x14ac:dyDescent="0.25">
      <c r="B108" s="100"/>
      <c r="C108" s="101"/>
      <c r="D108" s="102"/>
    </row>
    <row r="109" spans="2:4" s="99" customFormat="1" ht="12.5" x14ac:dyDescent="0.25">
      <c r="B109" s="100"/>
      <c r="C109" s="101" t="s">
        <v>240</v>
      </c>
      <c r="D109" s="102"/>
    </row>
    <row r="110" spans="2:4" s="99" customFormat="1" ht="25" x14ac:dyDescent="0.25">
      <c r="B110" s="100"/>
      <c r="C110" s="101" t="s">
        <v>528</v>
      </c>
      <c r="D110" s="102"/>
    </row>
    <row r="111" spans="2:4" s="99" customFormat="1" ht="52.5" customHeight="1" x14ac:dyDescent="0.25">
      <c r="B111" s="100"/>
      <c r="C111" s="217" t="s">
        <v>284</v>
      </c>
      <c r="D111" s="102"/>
    </row>
    <row r="112" spans="2:4" s="99" customFormat="1" ht="12.5" x14ac:dyDescent="0.25">
      <c r="B112" s="100"/>
      <c r="C112" s="101" t="s">
        <v>242</v>
      </c>
      <c r="D112" s="102"/>
    </row>
    <row r="113" spans="2:4" s="99" customFormat="1" ht="12.5" x14ac:dyDescent="0.25">
      <c r="B113" s="100"/>
      <c r="C113" s="101" t="s">
        <v>248</v>
      </c>
      <c r="D113" s="102"/>
    </row>
    <row r="114" spans="2:4" s="99" customFormat="1" ht="12.5" x14ac:dyDescent="0.25">
      <c r="B114" s="100"/>
      <c r="C114" s="101" t="s">
        <v>249</v>
      </c>
      <c r="D114" s="102"/>
    </row>
    <row r="115" spans="2:4" s="99" customFormat="1" ht="12.5" x14ac:dyDescent="0.25">
      <c r="B115" s="100"/>
      <c r="C115" s="101" t="s">
        <v>250</v>
      </c>
      <c r="D115" s="102"/>
    </row>
    <row r="116" spans="2:4" s="99" customFormat="1" ht="25" x14ac:dyDescent="0.25">
      <c r="B116" s="100"/>
      <c r="C116" s="101" t="s">
        <v>519</v>
      </c>
      <c r="D116" s="102"/>
    </row>
    <row r="117" spans="2:4" s="99" customFormat="1" ht="12.5" x14ac:dyDescent="0.25">
      <c r="B117" s="100"/>
      <c r="C117" s="101" t="s">
        <v>520</v>
      </c>
      <c r="D117" s="102"/>
    </row>
    <row r="118" spans="2:4" s="99" customFormat="1" ht="27.75" customHeight="1" x14ac:dyDescent="0.25">
      <c r="B118" s="100"/>
      <c r="C118" s="101" t="s">
        <v>553</v>
      </c>
      <c r="D118" s="102"/>
    </row>
    <row r="119" spans="2:4" s="99" customFormat="1" ht="50.25" customHeight="1" x14ac:dyDescent="0.25">
      <c r="B119" s="100"/>
      <c r="C119" s="101" t="s">
        <v>551</v>
      </c>
      <c r="D119" s="102"/>
    </row>
    <row r="120" spans="2:4" s="99" customFormat="1" ht="25" x14ac:dyDescent="0.25">
      <c r="B120" s="100"/>
      <c r="C120" s="101" t="s">
        <v>552</v>
      </c>
      <c r="D120" s="102"/>
    </row>
    <row r="121" spans="2:4" s="99" customFormat="1" ht="25" x14ac:dyDescent="0.25">
      <c r="B121" s="100"/>
      <c r="C121" s="101" t="s">
        <v>524</v>
      </c>
      <c r="D121" s="102"/>
    </row>
    <row r="122" spans="2:4" s="99" customFormat="1" ht="12.5" x14ac:dyDescent="0.25">
      <c r="B122" s="100"/>
      <c r="C122" s="101" t="s">
        <v>525</v>
      </c>
      <c r="D122" s="102"/>
    </row>
    <row r="123" spans="2:4" s="99" customFormat="1" ht="25" x14ac:dyDescent="0.25">
      <c r="B123" s="100"/>
      <c r="C123" s="101" t="s">
        <v>527</v>
      </c>
      <c r="D123" s="102"/>
    </row>
    <row r="124" spans="2:4" s="99" customFormat="1" ht="12.5" x14ac:dyDescent="0.25">
      <c r="B124" s="100"/>
      <c r="C124" s="101" t="s">
        <v>538</v>
      </c>
      <c r="D124" s="102"/>
    </row>
    <row r="125" spans="2:4" s="99" customFormat="1" ht="5.15" customHeight="1" x14ac:dyDescent="0.25">
      <c r="B125" s="104"/>
      <c r="C125" s="105"/>
      <c r="D125" s="106"/>
    </row>
    <row r="126" spans="2:4" s="99" customFormat="1" ht="5.15" customHeight="1" x14ac:dyDescent="0.25">
      <c r="C126" s="101"/>
    </row>
    <row r="127" spans="2:4" s="99" customFormat="1" ht="20.149999999999999" customHeight="1" x14ac:dyDescent="0.25">
      <c r="B127" s="218" t="s">
        <v>401</v>
      </c>
      <c r="C127" s="219"/>
      <c r="D127" s="220"/>
    </row>
    <row r="128" spans="2:4" s="99" customFormat="1" ht="5.15" customHeight="1" x14ac:dyDescent="0.25">
      <c r="B128" s="118"/>
      <c r="C128" s="97"/>
      <c r="D128" s="119"/>
    </row>
    <row r="129" spans="2:4" s="99" customFormat="1" ht="75" x14ac:dyDescent="0.25">
      <c r="B129" s="120"/>
      <c r="C129" s="170" t="s">
        <v>407</v>
      </c>
      <c r="D129" s="121"/>
    </row>
    <row r="130" spans="2:4" s="99" customFormat="1" ht="5.15" customHeight="1" x14ac:dyDescent="0.25">
      <c r="B130" s="115"/>
      <c r="C130" s="116"/>
      <c r="D130" s="117"/>
    </row>
    <row r="131" spans="2:4" s="99" customFormat="1" ht="5.15" customHeight="1" x14ac:dyDescent="0.25">
      <c r="C131" s="101"/>
    </row>
    <row r="132" spans="2:4" s="99" customFormat="1" ht="20.149999999999999" customHeight="1" x14ac:dyDescent="0.25">
      <c r="B132" s="218" t="s">
        <v>400</v>
      </c>
      <c r="C132" s="219"/>
      <c r="D132" s="220"/>
    </row>
    <row r="133" spans="2:4" s="114" customFormat="1" ht="5.15" customHeight="1" x14ac:dyDescent="0.25">
      <c r="B133" s="118"/>
      <c r="C133" s="97"/>
      <c r="D133" s="119"/>
    </row>
    <row r="134" spans="2:4" s="114" customFormat="1" ht="25" x14ac:dyDescent="0.25">
      <c r="B134" s="120"/>
      <c r="C134" s="101" t="s">
        <v>271</v>
      </c>
      <c r="D134" s="121"/>
    </row>
    <row r="135" spans="2:4" s="99" customFormat="1" ht="5.15" customHeight="1" x14ac:dyDescent="0.25">
      <c r="B135" s="115"/>
      <c r="C135" s="116"/>
      <c r="D135" s="117"/>
    </row>
  </sheetData>
  <sheetProtection algorithmName="SHA-512" hashValue="NK/07NmHehwDNX1NRyImVqb9Dk7bJecR/7tQ7UlcCY4eXpZIf5cjjo1JMw7aGKrZc/8DtEo5dI4kxQiD5I8+Qg==" saltValue="iI9gG8l7DDYar6qJ5nVROg==" spinCount="100000" sheet="1" selectLockedCells="1" selectUnlockedCells="1"/>
  <mergeCells count="9">
    <mergeCell ref="B132:D132"/>
    <mergeCell ref="B2:D2"/>
    <mergeCell ref="B16:D16"/>
    <mergeCell ref="B46:D46"/>
    <mergeCell ref="B66:D66"/>
    <mergeCell ref="B83:D83"/>
    <mergeCell ref="B105:D105"/>
    <mergeCell ref="B61:D61"/>
    <mergeCell ref="B127:D127"/>
  </mergeCells>
  <printOptions horizontalCentered="1"/>
  <pageMargins left="0" right="0" top="0.39370078740157483" bottom="0" header="0" footer="0"/>
  <pageSetup paperSize="9" scale="72" orientation="portrait" r:id="rId1"/>
  <rowBreaks count="1" manualBreakCount="1">
    <brk id="65"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B1:M93"/>
  <sheetViews>
    <sheetView showGridLines="0" topLeftCell="C63" zoomScale="70" zoomScaleNormal="70" zoomScaleSheetLayoutView="40" workbookViewId="0">
      <selection activeCell="C23" sqref="C23"/>
    </sheetView>
  </sheetViews>
  <sheetFormatPr baseColWidth="10" defaultColWidth="9.1796875" defaultRowHeight="18" x14ac:dyDescent="0.4"/>
  <cols>
    <col min="1" max="1" width="1.7265625" style="5" customWidth="1"/>
    <col min="2" max="2" width="10" style="5" customWidth="1"/>
    <col min="3" max="3" width="52.7265625" style="91" customWidth="1"/>
    <col min="4" max="4" width="48.7265625" style="5" customWidth="1"/>
    <col min="5" max="6" width="24.7265625" style="5" customWidth="1"/>
    <col min="7" max="9" width="20.7265625" style="5" customWidth="1"/>
    <col min="10" max="10" width="21.7265625" style="5" customWidth="1"/>
    <col min="11" max="13" width="20.7265625" style="5" customWidth="1"/>
    <col min="14" max="14" width="1.7265625" style="5" customWidth="1"/>
    <col min="15" max="16384" width="9.1796875" style="5"/>
  </cols>
  <sheetData>
    <row r="1" spans="2:13" ht="10" customHeight="1" x14ac:dyDescent="0.4">
      <c r="G1" s="6"/>
      <c r="H1" s="6"/>
      <c r="I1" s="6"/>
      <c r="J1" s="6"/>
      <c r="K1" s="6"/>
      <c r="L1" s="6"/>
    </row>
    <row r="2" spans="2:13" s="7" customFormat="1" x14ac:dyDescent="0.4">
      <c r="B2" s="68"/>
      <c r="C2" s="68"/>
      <c r="G2" s="6"/>
      <c r="H2" s="6"/>
      <c r="I2" s="6"/>
      <c r="J2" s="6"/>
      <c r="K2" s="6"/>
      <c r="L2" s="6"/>
    </row>
    <row r="3" spans="2:13" s="7" customFormat="1" x14ac:dyDescent="0.4">
      <c r="B3" s="68"/>
      <c r="C3" s="68"/>
      <c r="D3" s="196" t="s">
        <v>129</v>
      </c>
      <c r="E3" s="69"/>
      <c r="G3" s="6"/>
      <c r="H3" s="6"/>
      <c r="I3" s="6"/>
      <c r="J3" s="6"/>
      <c r="K3" s="6"/>
      <c r="L3" s="6"/>
    </row>
    <row r="4" spans="2:13" s="7" customFormat="1" ht="20.149999999999999" customHeight="1" x14ac:dyDescent="0.4">
      <c r="B4" s="68"/>
      <c r="D4" s="196" t="s">
        <v>192</v>
      </c>
      <c r="E4" s="70"/>
      <c r="F4" s="70"/>
      <c r="G4" s="70"/>
      <c r="H4" s="70"/>
      <c r="I4" s="70"/>
      <c r="J4" s="70"/>
      <c r="K4" s="70"/>
      <c r="L4" s="70"/>
    </row>
    <row r="5" spans="2:13" s="7" customFormat="1" ht="20.149999999999999" customHeight="1" x14ac:dyDescent="0.4">
      <c r="B5" s="68"/>
      <c r="D5" s="70"/>
      <c r="E5" s="70"/>
      <c r="F5" s="70"/>
      <c r="G5" s="70"/>
      <c r="H5" s="70"/>
      <c r="I5" s="70"/>
      <c r="J5" s="70"/>
      <c r="K5" s="70"/>
      <c r="L5" s="70"/>
    </row>
    <row r="6" spans="2:13" s="7" customFormat="1" ht="10" customHeight="1" x14ac:dyDescent="0.4">
      <c r="B6" s="71"/>
      <c r="C6" s="71"/>
    </row>
    <row r="7" spans="2:13" s="7" customFormat="1" ht="50.15" customHeight="1" x14ac:dyDescent="0.4">
      <c r="B7" s="256" t="s">
        <v>255</v>
      </c>
      <c r="C7" s="256"/>
      <c r="D7" s="256"/>
      <c r="E7" s="256"/>
      <c r="F7" s="256"/>
      <c r="G7" s="256"/>
      <c r="H7" s="256"/>
      <c r="I7" s="256"/>
      <c r="J7" s="256"/>
      <c r="K7" s="256"/>
      <c r="L7" s="256"/>
      <c r="M7" s="256"/>
    </row>
    <row r="8" spans="2:13" s="7" customFormat="1" ht="20.149999999999999" customHeight="1" x14ac:dyDescent="0.4">
      <c r="B8" s="71"/>
      <c r="C8" s="71"/>
    </row>
    <row r="9" spans="2:13" s="7" customFormat="1" ht="40" customHeight="1" x14ac:dyDescent="0.4">
      <c r="B9" s="233" t="s">
        <v>228</v>
      </c>
      <c r="C9" s="234"/>
      <c r="D9" s="229" t="s">
        <v>555</v>
      </c>
      <c r="E9" s="229"/>
      <c r="F9" s="229"/>
      <c r="G9" s="67"/>
      <c r="H9" s="74"/>
      <c r="I9" s="250" t="s">
        <v>212</v>
      </c>
      <c r="J9" s="251"/>
      <c r="K9" s="253">
        <f>'Co-financing'!C4</f>
        <v>294830</v>
      </c>
      <c r="L9" s="254"/>
      <c r="M9" s="255"/>
    </row>
    <row r="10" spans="2:13" s="7" customFormat="1" ht="20.149999999999999" customHeight="1" x14ac:dyDescent="0.4">
      <c r="F10" s="72"/>
    </row>
    <row r="11" spans="2:13" s="7" customFormat="1" ht="36" customHeight="1" x14ac:dyDescent="0.4">
      <c r="B11" s="230" t="s">
        <v>207</v>
      </c>
      <c r="C11" s="230"/>
      <c r="D11" s="198" t="s">
        <v>201</v>
      </c>
      <c r="E11" s="250" t="s">
        <v>210</v>
      </c>
      <c r="F11" s="251"/>
    </row>
    <row r="12" spans="2:13" s="7" customFormat="1" x14ac:dyDescent="0.4">
      <c r="B12" s="235" t="s">
        <v>152</v>
      </c>
      <c r="C12" s="235"/>
      <c r="D12" s="127">
        <v>269815</v>
      </c>
      <c r="E12" s="231">
        <f>'1. Staff Costs'!D4</f>
        <v>125107</v>
      </c>
      <c r="F12" s="231"/>
      <c r="G12" s="238" t="str">
        <f>'1. Staff Costs'!E4</f>
        <v/>
      </c>
      <c r="H12" s="238"/>
      <c r="I12" s="60"/>
      <c r="J12" s="60"/>
    </row>
    <row r="13" spans="2:13" s="7" customFormat="1" x14ac:dyDescent="0.4">
      <c r="B13" s="235" t="s">
        <v>165</v>
      </c>
      <c r="C13" s="235"/>
      <c r="D13" s="127">
        <v>118570</v>
      </c>
      <c r="E13" s="231">
        <f>'2-3-6. Travel Costs&amp;CoS&amp;EC'!D4</f>
        <v>0</v>
      </c>
      <c r="F13" s="231"/>
      <c r="G13" s="241" t="str">
        <f>'2-3-6. Travel Costs&amp;CoS&amp;EC'!E4</f>
        <v/>
      </c>
      <c r="H13" s="241"/>
      <c r="I13" s="60"/>
      <c r="J13" s="60"/>
    </row>
    <row r="14" spans="2:13" s="7" customFormat="1" x14ac:dyDescent="0.4">
      <c r="B14" s="235" t="s">
        <v>166</v>
      </c>
      <c r="C14" s="235"/>
      <c r="D14" s="127">
        <v>307035</v>
      </c>
      <c r="E14" s="231">
        <f>'2-3-6. Travel Costs&amp;CoS&amp;EC'!D6</f>
        <v>0</v>
      </c>
      <c r="F14" s="231"/>
      <c r="G14" s="241" t="str">
        <f>'2-3-6. Travel Costs&amp;CoS&amp;EC'!E6</f>
        <v/>
      </c>
      <c r="H14" s="241"/>
      <c r="I14" s="60"/>
      <c r="J14" s="60"/>
    </row>
    <row r="15" spans="2:13" s="7" customFormat="1" x14ac:dyDescent="0.4">
      <c r="B15" s="235" t="s">
        <v>163</v>
      </c>
      <c r="C15" s="235"/>
      <c r="D15" s="127">
        <v>183675</v>
      </c>
      <c r="E15" s="231">
        <f>'4. Equipment Costs'!D4</f>
        <v>129710.22</v>
      </c>
      <c r="F15" s="231"/>
      <c r="G15" s="238" t="str">
        <f>'4. Equipment Costs'!E4</f>
        <v/>
      </c>
      <c r="H15" s="238"/>
      <c r="I15" s="60"/>
      <c r="J15" s="60"/>
    </row>
    <row r="16" spans="2:13" s="7" customFormat="1" ht="18" customHeight="1" x14ac:dyDescent="0.4">
      <c r="B16" s="235" t="s">
        <v>164</v>
      </c>
      <c r="C16" s="235"/>
      <c r="D16" s="127">
        <v>20500</v>
      </c>
      <c r="E16" s="231">
        <f>'5. Subcontracting Costs'!D4</f>
        <v>18654.940000000002</v>
      </c>
      <c r="F16" s="231"/>
      <c r="G16" s="238" t="str">
        <f>'5. Subcontracting Costs'!E4</f>
        <v/>
      </c>
      <c r="H16" s="238"/>
      <c r="I16" s="60"/>
      <c r="J16" s="60"/>
    </row>
    <row r="17" spans="2:13" ht="18" customHeight="1" x14ac:dyDescent="0.4">
      <c r="B17" s="246" t="s">
        <v>368</v>
      </c>
      <c r="C17" s="246"/>
      <c r="D17" s="127">
        <v>0</v>
      </c>
      <c r="E17" s="232">
        <f>'2-3-6. Travel Costs&amp;CoS&amp;EC'!D5</f>
        <v>0</v>
      </c>
      <c r="F17" s="232"/>
      <c r="G17" s="239" t="str">
        <f>'2-3-6. Travel Costs&amp;CoS&amp;EC'!E5</f>
        <v/>
      </c>
      <c r="H17" s="240"/>
      <c r="I17" s="7"/>
    </row>
    <row r="18" spans="2:13" s="7" customFormat="1" ht="18" customHeight="1" x14ac:dyDescent="0.4">
      <c r="B18" s="242" t="s">
        <v>369</v>
      </c>
      <c r="C18" s="242"/>
      <c r="D18" s="244">
        <f>SUM(D12:D17)</f>
        <v>899595</v>
      </c>
      <c r="E18" s="245">
        <f>SUM(E12:F17)</f>
        <v>273472.16000000003</v>
      </c>
      <c r="F18" s="245"/>
    </row>
    <row r="19" spans="2:13" s="7" customFormat="1" ht="18" customHeight="1" x14ac:dyDescent="0.4">
      <c r="B19" s="242"/>
      <c r="C19" s="242"/>
      <c r="D19" s="244"/>
      <c r="E19" s="245"/>
      <c r="F19" s="245"/>
    </row>
    <row r="20" spans="2:13" s="7" customFormat="1" ht="20.149999999999999" customHeight="1" x14ac:dyDescent="0.4">
      <c r="F20" s="72"/>
    </row>
    <row r="21" spans="2:13" s="7" customFormat="1" ht="25" customHeight="1" x14ac:dyDescent="0.4">
      <c r="B21" s="252" t="s">
        <v>160</v>
      </c>
      <c r="C21" s="252"/>
      <c r="D21" s="252"/>
      <c r="E21" s="252"/>
      <c r="F21" s="252"/>
      <c r="G21" s="252"/>
      <c r="H21" s="252"/>
      <c r="I21" s="252"/>
      <c r="J21" s="252"/>
      <c r="K21" s="252"/>
      <c r="L21" s="252"/>
      <c r="M21" s="252"/>
    </row>
    <row r="22" spans="2:13" s="7" customFormat="1" ht="54" customHeight="1" x14ac:dyDescent="0.4">
      <c r="B22" s="206" t="s">
        <v>142</v>
      </c>
      <c r="C22" s="73" t="s">
        <v>143</v>
      </c>
      <c r="D22" s="73" t="s">
        <v>0</v>
      </c>
      <c r="E22" s="73" t="s">
        <v>414</v>
      </c>
      <c r="F22" s="202" t="s">
        <v>473</v>
      </c>
      <c r="G22" s="202" t="s">
        <v>168</v>
      </c>
      <c r="H22" s="202" t="s">
        <v>169</v>
      </c>
      <c r="I22" s="202" t="s">
        <v>170</v>
      </c>
      <c r="J22" s="202" t="s">
        <v>171</v>
      </c>
      <c r="K22" s="202" t="s">
        <v>172</v>
      </c>
      <c r="L22" s="128" t="s">
        <v>368</v>
      </c>
      <c r="M22" s="128" t="s">
        <v>375</v>
      </c>
    </row>
    <row r="23" spans="2:13" s="58" customFormat="1" x14ac:dyDescent="0.4">
      <c r="B23" s="204" t="s">
        <v>6</v>
      </c>
      <c r="C23" s="110" t="s">
        <v>556</v>
      </c>
      <c r="D23" s="110" t="s">
        <v>32</v>
      </c>
      <c r="E23" s="173" t="s">
        <v>471</v>
      </c>
      <c r="F23" s="174" t="str">
        <f t="shared" ref="F23:F54" si="0">IFERROR(IF(D23&lt;&gt;"",VLOOKUP(D23,CountryType,2,FALSE),""),"Country not found")</f>
        <v>Programme Countries</v>
      </c>
      <c r="G23" s="92">
        <f>SUMIFS('1. Staff Costs'!P:P,'1. Staff Costs'!C:C,B23,'1. Staff Costs'!Q:Q,"&lt;&gt;Error")</f>
        <v>78708</v>
      </c>
      <c r="H23" s="92">
        <f>SUMIFS('2-3-6. Travel Costs&amp;CoS&amp;EC'!U:U,'2-3-6. Travel Costs&amp;CoS&amp;EC'!C:C,B23,'2-3-6. Travel Costs&amp;CoS&amp;EC'!Y:Y,1,'2-3-6. Travel Costs&amp;CoS&amp;EC'!X:X,"&lt;&gt;Error")</f>
        <v>0</v>
      </c>
      <c r="I23" s="92">
        <f>SUMIFS('2-3-6. Travel Costs&amp;CoS&amp;EC'!V:V,'2-3-6. Travel Costs&amp;CoS&amp;EC'!C:C,B23,'2-3-6. Travel Costs&amp;CoS&amp;EC'!X:X,"&lt;&gt;Error")</f>
        <v>0</v>
      </c>
      <c r="J23" s="92">
        <f>SUMIFS('4. Equipment Costs'!R:R,'4. Equipment Costs'!C:C,B23,'4. Equipment Costs'!S:S,"&lt;&gt;Error")</f>
        <v>0</v>
      </c>
      <c r="K23" s="92">
        <f>SUMIFS('5. Subcontracting Costs'!R:R,'5. Subcontracting Costs'!C:C,B23,'5. Subcontracting Costs'!S:S,"&lt;&gt;Error")</f>
        <v>9050</v>
      </c>
      <c r="L23" s="146">
        <f>SUMIFS('2-3-6. Travel Costs&amp;CoS&amp;EC'!U:U,'2-3-6. Travel Costs&amp;CoS&amp;EC'!C:C,B23,'2-3-6. Travel Costs&amp;CoS&amp;EC'!Y:Y,2,'2-3-6. Travel Costs&amp;CoS&amp;EC'!X:X,"&lt;&gt;Error")</f>
        <v>0</v>
      </c>
      <c r="M23" s="148">
        <f t="shared" ref="M23:M54" si="1">IF(OR(C23="",COUNTIF(CountryALL,D23)=0,COUNTIF(Role_Code,E23)=0),0,SUM(G23:L23))</f>
        <v>87758</v>
      </c>
    </row>
    <row r="24" spans="2:13" s="58" customFormat="1" x14ac:dyDescent="0.4">
      <c r="B24" s="204" t="s">
        <v>7</v>
      </c>
      <c r="C24" s="110" t="s">
        <v>557</v>
      </c>
      <c r="D24" s="110" t="s">
        <v>65</v>
      </c>
      <c r="E24" s="173" t="s">
        <v>415</v>
      </c>
      <c r="F24" s="174" t="str">
        <f t="shared" si="0"/>
        <v>Partner Countries</v>
      </c>
      <c r="G24" s="92">
        <f>SUMIFS('1. Staff Costs'!P:P,'1. Staff Costs'!C:C,B24,'1. Staff Costs'!Q:Q,"&lt;&gt;Error")</f>
        <v>15160</v>
      </c>
      <c r="H24" s="92">
        <f>SUMIFS('2-3-6. Travel Costs&amp;CoS&amp;EC'!U:U,'2-3-6. Travel Costs&amp;CoS&amp;EC'!C:C,B24,'2-3-6. Travel Costs&amp;CoS&amp;EC'!Y:Y,1,'2-3-6. Travel Costs&amp;CoS&amp;EC'!X:X,"&lt;&gt;Error")</f>
        <v>0</v>
      </c>
      <c r="I24" s="92">
        <f>SUMIFS('2-3-6. Travel Costs&amp;CoS&amp;EC'!V:V,'2-3-6. Travel Costs&amp;CoS&amp;EC'!C:C,B24,'2-3-6. Travel Costs&amp;CoS&amp;EC'!X:X,"&lt;&gt;Error")</f>
        <v>0</v>
      </c>
      <c r="J24" s="92">
        <f>SUMIFS('4. Equipment Costs'!R:R,'4. Equipment Costs'!C:C,B24,'4. Equipment Costs'!S:S,"&lt;&gt;Error")</f>
        <v>30798.190000000002</v>
      </c>
      <c r="K24" s="92">
        <f>SUMIFS('5. Subcontracting Costs'!R:R,'5. Subcontracting Costs'!C:C,B24,'5. Subcontracting Costs'!S:S,"&lt;&gt;Error")</f>
        <v>9604.94</v>
      </c>
      <c r="L24" s="146">
        <f>SUMIFS('2-3-6. Travel Costs&amp;CoS&amp;EC'!U:U,'2-3-6. Travel Costs&amp;CoS&amp;EC'!C:C,B24,'2-3-6. Travel Costs&amp;CoS&amp;EC'!Y:Y,2,'2-3-6. Travel Costs&amp;CoS&amp;EC'!X:X,"&lt;&gt;Error")</f>
        <v>0</v>
      </c>
      <c r="M24" s="148">
        <f t="shared" si="1"/>
        <v>55563.130000000005</v>
      </c>
    </row>
    <row r="25" spans="2:13" s="58" customFormat="1" x14ac:dyDescent="0.4">
      <c r="B25" s="204" t="s">
        <v>8</v>
      </c>
      <c r="C25" s="110" t="s">
        <v>558</v>
      </c>
      <c r="D25" s="110" t="s">
        <v>65</v>
      </c>
      <c r="E25" s="173" t="s">
        <v>415</v>
      </c>
      <c r="F25" s="174" t="str">
        <f t="shared" si="0"/>
        <v>Partner Countries</v>
      </c>
      <c r="G25" s="92">
        <f>SUMIFS('1. Staff Costs'!P:P,'1. Staff Costs'!C:C,B25,'1. Staff Costs'!Q:Q,"&lt;&gt;Error")</f>
        <v>3136</v>
      </c>
      <c r="H25" s="92">
        <f>SUMIFS('2-3-6. Travel Costs&amp;CoS&amp;EC'!U:U,'2-3-6. Travel Costs&amp;CoS&amp;EC'!C:C,B25,'2-3-6. Travel Costs&amp;CoS&amp;EC'!Y:Y,1,'2-3-6. Travel Costs&amp;CoS&amp;EC'!X:X,"&lt;&gt;Error")</f>
        <v>0</v>
      </c>
      <c r="I25" s="92">
        <f>SUMIFS('2-3-6. Travel Costs&amp;CoS&amp;EC'!V:V,'2-3-6. Travel Costs&amp;CoS&amp;EC'!C:C,B25,'2-3-6. Travel Costs&amp;CoS&amp;EC'!X:X,"&lt;&gt;Error")</f>
        <v>0</v>
      </c>
      <c r="J25" s="92">
        <f>SUMIFS('4. Equipment Costs'!R:R,'4. Equipment Costs'!C:C,B25,'4. Equipment Costs'!S:S,"&lt;&gt;Error")</f>
        <v>26126.190000000002</v>
      </c>
      <c r="K25" s="92">
        <f>SUMIFS('5. Subcontracting Costs'!R:R,'5. Subcontracting Costs'!C:C,B25,'5. Subcontracting Costs'!S:S,"&lt;&gt;Error")</f>
        <v>0</v>
      </c>
      <c r="L25" s="146">
        <f>SUMIFS('2-3-6. Travel Costs&amp;CoS&amp;EC'!U:U,'2-3-6. Travel Costs&amp;CoS&amp;EC'!C:C,B25,'2-3-6. Travel Costs&amp;CoS&amp;EC'!Y:Y,2,'2-3-6. Travel Costs&amp;CoS&amp;EC'!X:X,"&lt;&gt;Error")</f>
        <v>0</v>
      </c>
      <c r="M25" s="148">
        <f t="shared" si="1"/>
        <v>29262.190000000002</v>
      </c>
    </row>
    <row r="26" spans="2:13" s="58" customFormat="1" x14ac:dyDescent="0.4">
      <c r="B26" s="204" t="s">
        <v>9</v>
      </c>
      <c r="C26" s="110" t="s">
        <v>559</v>
      </c>
      <c r="D26" s="110" t="s">
        <v>68</v>
      </c>
      <c r="E26" s="173" t="s">
        <v>415</v>
      </c>
      <c r="F26" s="174" t="str">
        <f t="shared" si="0"/>
        <v>Partner Countries</v>
      </c>
      <c r="G26" s="92">
        <f>SUMIFS('1. Staff Costs'!P:P,'1. Staff Costs'!C:C,B26,'1. Staff Costs'!Q:Q,"&lt;&gt;Error")</f>
        <v>2395</v>
      </c>
      <c r="H26" s="92">
        <f>SUMIFS('2-3-6. Travel Costs&amp;CoS&amp;EC'!U:U,'2-3-6. Travel Costs&amp;CoS&amp;EC'!C:C,B26,'2-3-6. Travel Costs&amp;CoS&amp;EC'!Y:Y,1,'2-3-6. Travel Costs&amp;CoS&amp;EC'!X:X,"&lt;&gt;Error")</f>
        <v>0</v>
      </c>
      <c r="I26" s="92">
        <f>SUMIFS('2-3-6. Travel Costs&amp;CoS&amp;EC'!V:V,'2-3-6. Travel Costs&amp;CoS&amp;EC'!C:C,B26,'2-3-6. Travel Costs&amp;CoS&amp;EC'!X:X,"&lt;&gt;Error")</f>
        <v>0</v>
      </c>
      <c r="J26" s="92">
        <f>SUMIFS('4. Equipment Costs'!R:R,'4. Equipment Costs'!C:C,B26,'4. Equipment Costs'!S:S,"&lt;&gt;Error")</f>
        <v>12205.8</v>
      </c>
      <c r="K26" s="92">
        <f>SUMIFS('5. Subcontracting Costs'!R:R,'5. Subcontracting Costs'!C:C,B26,'5. Subcontracting Costs'!S:S,"&lt;&gt;Error")</f>
        <v>0</v>
      </c>
      <c r="L26" s="146">
        <f>SUMIFS('2-3-6. Travel Costs&amp;CoS&amp;EC'!U:U,'2-3-6. Travel Costs&amp;CoS&amp;EC'!C:C,B26,'2-3-6. Travel Costs&amp;CoS&amp;EC'!Y:Y,2,'2-3-6. Travel Costs&amp;CoS&amp;EC'!X:X,"&lt;&gt;Error")</f>
        <v>0</v>
      </c>
      <c r="M26" s="148">
        <f t="shared" si="1"/>
        <v>14600.8</v>
      </c>
    </row>
    <row r="27" spans="2:13" s="58" customFormat="1" ht="36" x14ac:dyDescent="0.4">
      <c r="B27" s="204" t="s">
        <v>10</v>
      </c>
      <c r="C27" s="110" t="s">
        <v>560</v>
      </c>
      <c r="D27" s="110" t="s">
        <v>68</v>
      </c>
      <c r="E27" s="173" t="s">
        <v>415</v>
      </c>
      <c r="F27" s="174" t="str">
        <f t="shared" si="0"/>
        <v>Partner Countries</v>
      </c>
      <c r="G27" s="92">
        <f>SUMIFS('1. Staff Costs'!P:P,'1. Staff Costs'!C:C,B27,'1. Staff Costs'!Q:Q,"&lt;&gt;Error")</f>
        <v>2622</v>
      </c>
      <c r="H27" s="92">
        <f>SUMIFS('2-3-6. Travel Costs&amp;CoS&amp;EC'!U:U,'2-3-6. Travel Costs&amp;CoS&amp;EC'!C:C,B27,'2-3-6. Travel Costs&amp;CoS&amp;EC'!Y:Y,1,'2-3-6. Travel Costs&amp;CoS&amp;EC'!X:X,"&lt;&gt;Error")</f>
        <v>0</v>
      </c>
      <c r="I27" s="92">
        <f>SUMIFS('2-3-6. Travel Costs&amp;CoS&amp;EC'!V:V,'2-3-6. Travel Costs&amp;CoS&amp;EC'!C:C,B27,'2-3-6. Travel Costs&amp;CoS&amp;EC'!X:X,"&lt;&gt;Error")</f>
        <v>0</v>
      </c>
      <c r="J27" s="92">
        <f>SUMIFS('4. Equipment Costs'!R:R,'4. Equipment Costs'!C:C,B27,'4. Equipment Costs'!S:S,"&lt;&gt;Error")</f>
        <v>12205.8</v>
      </c>
      <c r="K27" s="92">
        <f>SUMIFS('5. Subcontracting Costs'!R:R,'5. Subcontracting Costs'!C:C,B27,'5. Subcontracting Costs'!S:S,"&lt;&gt;Error")</f>
        <v>0</v>
      </c>
      <c r="L27" s="146">
        <f>SUMIFS('2-3-6. Travel Costs&amp;CoS&amp;EC'!U:U,'2-3-6. Travel Costs&amp;CoS&amp;EC'!C:C,B27,'2-3-6. Travel Costs&amp;CoS&amp;EC'!Y:Y,2,'2-3-6. Travel Costs&amp;CoS&amp;EC'!X:X,"&lt;&gt;Error")</f>
        <v>0</v>
      </c>
      <c r="M27" s="148">
        <f t="shared" si="1"/>
        <v>14827.8</v>
      </c>
    </row>
    <row r="28" spans="2:13" s="58" customFormat="1" x14ac:dyDescent="0.4">
      <c r="B28" s="204" t="s">
        <v>11</v>
      </c>
      <c r="C28" s="110" t="s">
        <v>561</v>
      </c>
      <c r="D28" s="110" t="s">
        <v>131</v>
      </c>
      <c r="E28" s="173" t="s">
        <v>415</v>
      </c>
      <c r="F28" s="174" t="str">
        <f t="shared" si="0"/>
        <v>Partner Countries</v>
      </c>
      <c r="G28" s="92">
        <f>SUMIFS('1. Staff Costs'!P:P,'1. Staff Costs'!C:C,B28,'1. Staff Costs'!Q:Q,"&lt;&gt;Error")</f>
        <v>2876</v>
      </c>
      <c r="H28" s="92">
        <f>SUMIFS('2-3-6. Travel Costs&amp;CoS&amp;EC'!U:U,'2-3-6. Travel Costs&amp;CoS&amp;EC'!C:C,B28,'2-3-6. Travel Costs&amp;CoS&amp;EC'!Y:Y,1,'2-3-6. Travel Costs&amp;CoS&amp;EC'!X:X,"&lt;&gt;Error")</f>
        <v>0</v>
      </c>
      <c r="I28" s="92">
        <f>SUMIFS('2-3-6. Travel Costs&amp;CoS&amp;EC'!V:V,'2-3-6. Travel Costs&amp;CoS&amp;EC'!C:C,B28,'2-3-6. Travel Costs&amp;CoS&amp;EC'!X:X,"&lt;&gt;Error")</f>
        <v>0</v>
      </c>
      <c r="J28" s="92">
        <f>SUMIFS('4. Equipment Costs'!R:R,'4. Equipment Costs'!C:C,B28,'4. Equipment Costs'!S:S,"&lt;&gt;Error")</f>
        <v>16934.84</v>
      </c>
      <c r="K28" s="92">
        <f>SUMIFS('5. Subcontracting Costs'!R:R,'5. Subcontracting Costs'!C:C,B28,'5. Subcontracting Costs'!S:S,"&lt;&gt;Error")</f>
        <v>0</v>
      </c>
      <c r="L28" s="146">
        <f>SUMIFS('2-3-6. Travel Costs&amp;CoS&amp;EC'!U:U,'2-3-6. Travel Costs&amp;CoS&amp;EC'!C:C,B28,'2-3-6. Travel Costs&amp;CoS&amp;EC'!Y:Y,2,'2-3-6. Travel Costs&amp;CoS&amp;EC'!X:X,"&lt;&gt;Error")</f>
        <v>0</v>
      </c>
      <c r="M28" s="148">
        <f t="shared" si="1"/>
        <v>19810.84</v>
      </c>
    </row>
    <row r="29" spans="2:13" s="58" customFormat="1" x14ac:dyDescent="0.4">
      <c r="B29" s="204" t="s">
        <v>12</v>
      </c>
      <c r="C29" s="110" t="s">
        <v>562</v>
      </c>
      <c r="D29" s="110" t="s">
        <v>131</v>
      </c>
      <c r="E29" s="173" t="s">
        <v>415</v>
      </c>
      <c r="F29" s="174" t="str">
        <f t="shared" si="0"/>
        <v>Partner Countries</v>
      </c>
      <c r="G29" s="92">
        <f>SUMIFS('1. Staff Costs'!P:P,'1. Staff Costs'!C:C,B29,'1. Staff Costs'!Q:Q,"&lt;&gt;Error")</f>
        <v>2320</v>
      </c>
      <c r="H29" s="92">
        <f>SUMIFS('2-3-6. Travel Costs&amp;CoS&amp;EC'!U:U,'2-3-6. Travel Costs&amp;CoS&amp;EC'!C:C,B29,'2-3-6. Travel Costs&amp;CoS&amp;EC'!Y:Y,1,'2-3-6. Travel Costs&amp;CoS&amp;EC'!X:X,"&lt;&gt;Error")</f>
        <v>0</v>
      </c>
      <c r="I29" s="92">
        <f>SUMIFS('2-3-6. Travel Costs&amp;CoS&amp;EC'!V:V,'2-3-6. Travel Costs&amp;CoS&amp;EC'!C:C,B29,'2-3-6. Travel Costs&amp;CoS&amp;EC'!X:X,"&lt;&gt;Error")</f>
        <v>0</v>
      </c>
      <c r="J29" s="92">
        <f>SUMIFS('4. Equipment Costs'!R:R,'4. Equipment Costs'!C:C,B29,'4. Equipment Costs'!S:S,"&lt;&gt;Error")</f>
        <v>31439.4</v>
      </c>
      <c r="K29" s="92">
        <f>SUMIFS('5. Subcontracting Costs'!R:R,'5. Subcontracting Costs'!C:C,B29,'5. Subcontracting Costs'!S:S,"&lt;&gt;Error")</f>
        <v>0</v>
      </c>
      <c r="L29" s="146">
        <f>SUMIFS('2-3-6. Travel Costs&amp;CoS&amp;EC'!U:U,'2-3-6. Travel Costs&amp;CoS&amp;EC'!C:C,B29,'2-3-6. Travel Costs&amp;CoS&amp;EC'!Y:Y,2,'2-3-6. Travel Costs&amp;CoS&amp;EC'!X:X,"&lt;&gt;Error")</f>
        <v>0</v>
      </c>
      <c r="M29" s="148">
        <f t="shared" si="1"/>
        <v>33759.4</v>
      </c>
    </row>
    <row r="30" spans="2:13" s="58" customFormat="1" x14ac:dyDescent="0.4">
      <c r="B30" s="204" t="s">
        <v>13</v>
      </c>
      <c r="C30" s="110" t="s">
        <v>563</v>
      </c>
      <c r="D30" s="110" t="s">
        <v>103</v>
      </c>
      <c r="E30" s="173" t="s">
        <v>415</v>
      </c>
      <c r="F30" s="174" t="str">
        <f t="shared" si="0"/>
        <v>Partner Countries</v>
      </c>
      <c r="G30" s="92">
        <f>SUMIFS('1. Staff Costs'!P:P,'1. Staff Costs'!C:C,B30,'1. Staff Costs'!Q:Q,"&lt;&gt;Error")</f>
        <v>2976</v>
      </c>
      <c r="H30" s="92">
        <f>SUMIFS('2-3-6. Travel Costs&amp;CoS&amp;EC'!U:U,'2-3-6. Travel Costs&amp;CoS&amp;EC'!C:C,B30,'2-3-6. Travel Costs&amp;CoS&amp;EC'!Y:Y,1,'2-3-6. Travel Costs&amp;CoS&amp;EC'!X:X,"&lt;&gt;Error")</f>
        <v>0</v>
      </c>
      <c r="I30" s="92">
        <f>SUMIFS('2-3-6. Travel Costs&amp;CoS&amp;EC'!V:V,'2-3-6. Travel Costs&amp;CoS&amp;EC'!C:C,B30,'2-3-6. Travel Costs&amp;CoS&amp;EC'!X:X,"&lt;&gt;Error")</f>
        <v>0</v>
      </c>
      <c r="J30" s="92">
        <f>SUMIFS('4. Equipment Costs'!R:R,'4. Equipment Costs'!C:C,B30,'4. Equipment Costs'!S:S,"&lt;&gt;Error")</f>
        <v>0</v>
      </c>
      <c r="K30" s="92">
        <f>SUMIFS('5. Subcontracting Costs'!R:R,'5. Subcontracting Costs'!C:C,B30,'5. Subcontracting Costs'!S:S,"&lt;&gt;Error")</f>
        <v>0</v>
      </c>
      <c r="L30" s="146">
        <f>SUMIFS('2-3-6. Travel Costs&amp;CoS&amp;EC'!U:U,'2-3-6. Travel Costs&amp;CoS&amp;EC'!C:C,B30,'2-3-6. Travel Costs&amp;CoS&amp;EC'!Y:Y,2,'2-3-6. Travel Costs&amp;CoS&amp;EC'!X:X,"&lt;&gt;Error")</f>
        <v>0</v>
      </c>
      <c r="M30" s="148">
        <f t="shared" si="1"/>
        <v>2976</v>
      </c>
    </row>
    <row r="31" spans="2:13" s="58" customFormat="1" x14ac:dyDescent="0.4">
      <c r="B31" s="204" t="s">
        <v>14</v>
      </c>
      <c r="C31" s="110" t="s">
        <v>564</v>
      </c>
      <c r="D31" s="110" t="s">
        <v>103</v>
      </c>
      <c r="E31" s="173" t="s">
        <v>415</v>
      </c>
      <c r="F31" s="174" t="str">
        <f t="shared" si="0"/>
        <v>Partner Countries</v>
      </c>
      <c r="G31" s="92">
        <f>SUMIFS('1. Staff Costs'!P:P,'1. Staff Costs'!C:C,B31,'1. Staff Costs'!Q:Q,"&lt;&gt;Error")</f>
        <v>2976</v>
      </c>
      <c r="H31" s="92">
        <f>SUMIFS('2-3-6. Travel Costs&amp;CoS&amp;EC'!U:U,'2-3-6. Travel Costs&amp;CoS&amp;EC'!C:C,B31,'2-3-6. Travel Costs&amp;CoS&amp;EC'!Y:Y,1,'2-3-6. Travel Costs&amp;CoS&amp;EC'!X:X,"&lt;&gt;Error")</f>
        <v>0</v>
      </c>
      <c r="I31" s="92">
        <f>SUMIFS('2-3-6. Travel Costs&amp;CoS&amp;EC'!V:V,'2-3-6. Travel Costs&amp;CoS&amp;EC'!C:C,B31,'2-3-6. Travel Costs&amp;CoS&amp;EC'!X:X,"&lt;&gt;Error")</f>
        <v>0</v>
      </c>
      <c r="J31" s="92">
        <f>SUMIFS('4. Equipment Costs'!R:R,'4. Equipment Costs'!C:C,B31,'4. Equipment Costs'!S:S,"&lt;&gt;Error")</f>
        <v>0</v>
      </c>
      <c r="K31" s="92">
        <f>SUMIFS('5. Subcontracting Costs'!R:R,'5. Subcontracting Costs'!C:C,B31,'5. Subcontracting Costs'!S:S,"&lt;&gt;Error")</f>
        <v>0</v>
      </c>
      <c r="L31" s="146">
        <f>SUMIFS('2-3-6. Travel Costs&amp;CoS&amp;EC'!U:U,'2-3-6. Travel Costs&amp;CoS&amp;EC'!C:C,B31,'2-3-6. Travel Costs&amp;CoS&amp;EC'!Y:Y,2,'2-3-6. Travel Costs&amp;CoS&amp;EC'!X:X,"&lt;&gt;Error")</f>
        <v>0</v>
      </c>
      <c r="M31" s="148">
        <f t="shared" si="1"/>
        <v>2976</v>
      </c>
    </row>
    <row r="32" spans="2:13" s="58" customFormat="1" x14ac:dyDescent="0.4">
      <c r="B32" s="204" t="s">
        <v>15</v>
      </c>
      <c r="C32" s="110" t="s">
        <v>565</v>
      </c>
      <c r="D32" s="110" t="s">
        <v>32</v>
      </c>
      <c r="E32" s="173" t="s">
        <v>415</v>
      </c>
      <c r="F32" s="174" t="str">
        <f t="shared" si="0"/>
        <v>Programme Countries</v>
      </c>
      <c r="G32" s="92">
        <f>SUMIFS('1. Staff Costs'!P:P,'1. Staff Costs'!C:C,B32,'1. Staff Costs'!Q:Q,"&lt;&gt;Error")</f>
        <v>5714</v>
      </c>
      <c r="H32" s="92">
        <f>SUMIFS('2-3-6. Travel Costs&amp;CoS&amp;EC'!U:U,'2-3-6. Travel Costs&amp;CoS&amp;EC'!C:C,B32,'2-3-6. Travel Costs&amp;CoS&amp;EC'!Y:Y,1,'2-3-6. Travel Costs&amp;CoS&amp;EC'!X:X,"&lt;&gt;Error")</f>
        <v>0</v>
      </c>
      <c r="I32" s="92">
        <f>SUMIFS('2-3-6. Travel Costs&amp;CoS&amp;EC'!V:V,'2-3-6. Travel Costs&amp;CoS&amp;EC'!C:C,B32,'2-3-6. Travel Costs&amp;CoS&amp;EC'!X:X,"&lt;&gt;Error")</f>
        <v>0</v>
      </c>
      <c r="J32" s="92">
        <f>SUMIFS('4. Equipment Costs'!R:R,'4. Equipment Costs'!C:C,B32,'4. Equipment Costs'!S:S,"&lt;&gt;Error")</f>
        <v>0</v>
      </c>
      <c r="K32" s="92">
        <f>SUMIFS('5. Subcontracting Costs'!R:R,'5. Subcontracting Costs'!C:C,B32,'5. Subcontracting Costs'!S:S,"&lt;&gt;Error")</f>
        <v>0</v>
      </c>
      <c r="L32" s="146">
        <f>SUMIFS('2-3-6. Travel Costs&amp;CoS&amp;EC'!U:U,'2-3-6. Travel Costs&amp;CoS&amp;EC'!C:C,B32,'2-3-6. Travel Costs&amp;CoS&amp;EC'!Y:Y,2,'2-3-6. Travel Costs&amp;CoS&amp;EC'!X:X,"&lt;&gt;Error")</f>
        <v>0</v>
      </c>
      <c r="M32" s="148">
        <f t="shared" si="1"/>
        <v>5714</v>
      </c>
    </row>
    <row r="33" spans="2:13" s="58" customFormat="1" x14ac:dyDescent="0.4">
      <c r="B33" s="204" t="s">
        <v>16</v>
      </c>
      <c r="C33" s="110" t="s">
        <v>566</v>
      </c>
      <c r="D33" s="110" t="s">
        <v>33</v>
      </c>
      <c r="E33" s="173" t="s">
        <v>415</v>
      </c>
      <c r="F33" s="174" t="str">
        <f t="shared" si="0"/>
        <v>Programme Countries</v>
      </c>
      <c r="G33" s="92">
        <f>SUMIFS('1. Staff Costs'!P:P,'1. Staff Costs'!C:C,B33,'1. Staff Costs'!Q:Q,"&lt;&gt;Error")</f>
        <v>6224</v>
      </c>
      <c r="H33" s="92">
        <f>SUMIFS('2-3-6. Travel Costs&amp;CoS&amp;EC'!U:U,'2-3-6. Travel Costs&amp;CoS&amp;EC'!C:C,B33,'2-3-6. Travel Costs&amp;CoS&amp;EC'!Y:Y,1,'2-3-6. Travel Costs&amp;CoS&amp;EC'!X:X,"&lt;&gt;Error")</f>
        <v>0</v>
      </c>
      <c r="I33" s="92">
        <f>SUMIFS('2-3-6. Travel Costs&amp;CoS&amp;EC'!V:V,'2-3-6. Travel Costs&amp;CoS&amp;EC'!C:C,B33,'2-3-6. Travel Costs&amp;CoS&amp;EC'!X:X,"&lt;&gt;Error")</f>
        <v>0</v>
      </c>
      <c r="J33" s="92">
        <f>SUMIFS('4. Equipment Costs'!R:R,'4. Equipment Costs'!C:C,B33,'4. Equipment Costs'!S:S,"&lt;&gt;Error")</f>
        <v>0</v>
      </c>
      <c r="K33" s="92">
        <f>SUMIFS('5. Subcontracting Costs'!R:R,'5. Subcontracting Costs'!C:C,B33,'5. Subcontracting Costs'!S:S,"&lt;&gt;Error")</f>
        <v>0</v>
      </c>
      <c r="L33" s="146">
        <f>SUMIFS('2-3-6. Travel Costs&amp;CoS&amp;EC'!U:U,'2-3-6. Travel Costs&amp;CoS&amp;EC'!C:C,B33,'2-3-6. Travel Costs&amp;CoS&amp;EC'!Y:Y,2,'2-3-6. Travel Costs&amp;CoS&amp;EC'!X:X,"&lt;&gt;Error")</f>
        <v>0</v>
      </c>
      <c r="M33" s="148">
        <f t="shared" si="1"/>
        <v>6224</v>
      </c>
    </row>
    <row r="34" spans="2:13" s="58" customFormat="1" x14ac:dyDescent="0.4">
      <c r="B34" s="204" t="s">
        <v>17</v>
      </c>
      <c r="C34" s="110"/>
      <c r="D34" s="110"/>
      <c r="E34" s="173"/>
      <c r="F34" s="174" t="str">
        <f t="shared" si="0"/>
        <v/>
      </c>
      <c r="G34" s="92">
        <f>SUMIFS('1. Staff Costs'!P:P,'1. Staff Costs'!C:C,B34,'1. Staff Costs'!Q:Q,"&lt;&gt;Error")</f>
        <v>0</v>
      </c>
      <c r="H34" s="92">
        <f>SUMIFS('2-3-6. Travel Costs&amp;CoS&amp;EC'!U:U,'2-3-6. Travel Costs&amp;CoS&amp;EC'!C:C,B34,'2-3-6. Travel Costs&amp;CoS&amp;EC'!Y:Y,1,'2-3-6. Travel Costs&amp;CoS&amp;EC'!X:X,"&lt;&gt;Error")</f>
        <v>0</v>
      </c>
      <c r="I34" s="92">
        <f>SUMIFS('2-3-6. Travel Costs&amp;CoS&amp;EC'!V:V,'2-3-6. Travel Costs&amp;CoS&amp;EC'!C:C,B34,'2-3-6. Travel Costs&amp;CoS&amp;EC'!X:X,"&lt;&gt;Error")</f>
        <v>0</v>
      </c>
      <c r="J34" s="92">
        <f>SUMIFS('4. Equipment Costs'!R:R,'4. Equipment Costs'!C:C,B34,'4. Equipment Costs'!S:S,"&lt;&gt;Error")</f>
        <v>0</v>
      </c>
      <c r="K34" s="92">
        <f>SUMIFS('5. Subcontracting Costs'!R:R,'5. Subcontracting Costs'!C:C,B34,'5. Subcontracting Costs'!S:S,"&lt;&gt;Error")</f>
        <v>0</v>
      </c>
      <c r="L34" s="146">
        <f>SUMIFS('2-3-6. Travel Costs&amp;CoS&amp;EC'!U:U,'2-3-6. Travel Costs&amp;CoS&amp;EC'!C:C,B34,'2-3-6. Travel Costs&amp;CoS&amp;EC'!Y:Y,2,'2-3-6. Travel Costs&amp;CoS&amp;EC'!X:X,"&lt;&gt;Error")</f>
        <v>0</v>
      </c>
      <c r="M34" s="148">
        <f t="shared" si="1"/>
        <v>0</v>
      </c>
    </row>
    <row r="35" spans="2:13" s="58" customFormat="1" x14ac:dyDescent="0.4">
      <c r="B35" s="204" t="s">
        <v>145</v>
      </c>
      <c r="C35" s="110"/>
      <c r="D35" s="110"/>
      <c r="E35" s="173"/>
      <c r="F35" s="174" t="str">
        <f t="shared" si="0"/>
        <v/>
      </c>
      <c r="G35" s="92">
        <f>SUMIFS('1. Staff Costs'!P:P,'1. Staff Costs'!C:C,B35,'1. Staff Costs'!Q:Q,"&lt;&gt;Error")</f>
        <v>0</v>
      </c>
      <c r="H35" s="92">
        <f>SUMIFS('2-3-6. Travel Costs&amp;CoS&amp;EC'!U:U,'2-3-6. Travel Costs&amp;CoS&amp;EC'!C:C,B35,'2-3-6. Travel Costs&amp;CoS&amp;EC'!Y:Y,1,'2-3-6. Travel Costs&amp;CoS&amp;EC'!X:X,"&lt;&gt;Error")</f>
        <v>0</v>
      </c>
      <c r="I35" s="92">
        <f>SUMIFS('2-3-6. Travel Costs&amp;CoS&amp;EC'!V:V,'2-3-6. Travel Costs&amp;CoS&amp;EC'!C:C,B35,'2-3-6. Travel Costs&amp;CoS&amp;EC'!X:X,"&lt;&gt;Error")</f>
        <v>0</v>
      </c>
      <c r="J35" s="92">
        <f>SUMIFS('4. Equipment Costs'!R:R,'4. Equipment Costs'!C:C,B35,'4. Equipment Costs'!S:S,"&lt;&gt;Error")</f>
        <v>0</v>
      </c>
      <c r="K35" s="92">
        <f>SUMIFS('5. Subcontracting Costs'!R:R,'5. Subcontracting Costs'!C:C,B35,'5. Subcontracting Costs'!S:S,"&lt;&gt;Error")</f>
        <v>0</v>
      </c>
      <c r="L35" s="146">
        <f>SUMIFS('2-3-6. Travel Costs&amp;CoS&amp;EC'!U:U,'2-3-6. Travel Costs&amp;CoS&amp;EC'!C:C,B35,'2-3-6. Travel Costs&amp;CoS&amp;EC'!Y:Y,2,'2-3-6. Travel Costs&amp;CoS&amp;EC'!X:X,"&lt;&gt;Error")</f>
        <v>0</v>
      </c>
      <c r="M35" s="148">
        <f t="shared" si="1"/>
        <v>0</v>
      </c>
    </row>
    <row r="36" spans="2:13" s="58" customFormat="1" x14ac:dyDescent="0.4">
      <c r="B36" s="204" t="s">
        <v>18</v>
      </c>
      <c r="C36" s="110"/>
      <c r="D36" s="110"/>
      <c r="E36" s="173"/>
      <c r="F36" s="174" t="str">
        <f t="shared" si="0"/>
        <v/>
      </c>
      <c r="G36" s="92">
        <f>SUMIFS('1. Staff Costs'!P:P,'1. Staff Costs'!C:C,B36,'1. Staff Costs'!Q:Q,"&lt;&gt;Error")</f>
        <v>0</v>
      </c>
      <c r="H36" s="92">
        <f>SUMIFS('2-3-6. Travel Costs&amp;CoS&amp;EC'!U:U,'2-3-6. Travel Costs&amp;CoS&amp;EC'!C:C,B36,'2-3-6. Travel Costs&amp;CoS&amp;EC'!Y:Y,1,'2-3-6. Travel Costs&amp;CoS&amp;EC'!X:X,"&lt;&gt;Error")</f>
        <v>0</v>
      </c>
      <c r="I36" s="92">
        <f>SUMIFS('2-3-6. Travel Costs&amp;CoS&amp;EC'!V:V,'2-3-6. Travel Costs&amp;CoS&amp;EC'!C:C,B36,'2-3-6. Travel Costs&amp;CoS&amp;EC'!X:X,"&lt;&gt;Error")</f>
        <v>0</v>
      </c>
      <c r="J36" s="92">
        <f>SUMIFS('4. Equipment Costs'!R:R,'4. Equipment Costs'!C:C,B36,'4. Equipment Costs'!S:S,"&lt;&gt;Error")</f>
        <v>0</v>
      </c>
      <c r="K36" s="92">
        <f>SUMIFS('5. Subcontracting Costs'!R:R,'5. Subcontracting Costs'!C:C,B36,'5. Subcontracting Costs'!S:S,"&lt;&gt;Error")</f>
        <v>0</v>
      </c>
      <c r="L36" s="146">
        <f>SUMIFS('2-3-6. Travel Costs&amp;CoS&amp;EC'!U:U,'2-3-6. Travel Costs&amp;CoS&amp;EC'!C:C,B36,'2-3-6. Travel Costs&amp;CoS&amp;EC'!Y:Y,2,'2-3-6. Travel Costs&amp;CoS&amp;EC'!X:X,"&lt;&gt;Error")</f>
        <v>0</v>
      </c>
      <c r="M36" s="148">
        <f t="shared" si="1"/>
        <v>0</v>
      </c>
    </row>
    <row r="37" spans="2:13" s="58" customFormat="1" x14ac:dyDescent="0.4">
      <c r="B37" s="204" t="s">
        <v>19</v>
      </c>
      <c r="C37" s="110"/>
      <c r="D37" s="110"/>
      <c r="E37" s="173"/>
      <c r="F37" s="174" t="str">
        <f t="shared" si="0"/>
        <v/>
      </c>
      <c r="G37" s="92">
        <f>SUMIFS('1. Staff Costs'!P:P,'1. Staff Costs'!C:C,B37,'1. Staff Costs'!Q:Q,"&lt;&gt;Error")</f>
        <v>0</v>
      </c>
      <c r="H37" s="92">
        <f>SUMIFS('2-3-6. Travel Costs&amp;CoS&amp;EC'!U:U,'2-3-6. Travel Costs&amp;CoS&amp;EC'!C:C,B37,'2-3-6. Travel Costs&amp;CoS&amp;EC'!Y:Y,1,'2-3-6. Travel Costs&amp;CoS&amp;EC'!X:X,"&lt;&gt;Error")</f>
        <v>0</v>
      </c>
      <c r="I37" s="92">
        <f>SUMIFS('2-3-6. Travel Costs&amp;CoS&amp;EC'!V:V,'2-3-6. Travel Costs&amp;CoS&amp;EC'!C:C,B37,'2-3-6. Travel Costs&amp;CoS&amp;EC'!X:X,"&lt;&gt;Error")</f>
        <v>0</v>
      </c>
      <c r="J37" s="92">
        <f>SUMIFS('4. Equipment Costs'!R:R,'4. Equipment Costs'!C:C,B37,'4. Equipment Costs'!S:S,"&lt;&gt;Error")</f>
        <v>0</v>
      </c>
      <c r="K37" s="92">
        <f>SUMIFS('5. Subcontracting Costs'!R:R,'5. Subcontracting Costs'!C:C,B37,'5. Subcontracting Costs'!S:S,"&lt;&gt;Error")</f>
        <v>0</v>
      </c>
      <c r="L37" s="146">
        <f>SUMIFS('2-3-6. Travel Costs&amp;CoS&amp;EC'!U:U,'2-3-6. Travel Costs&amp;CoS&amp;EC'!C:C,B37,'2-3-6. Travel Costs&amp;CoS&amp;EC'!Y:Y,2,'2-3-6. Travel Costs&amp;CoS&amp;EC'!X:X,"&lt;&gt;Error")</f>
        <v>0</v>
      </c>
      <c r="M37" s="148">
        <f t="shared" si="1"/>
        <v>0</v>
      </c>
    </row>
    <row r="38" spans="2:13" s="58" customFormat="1" x14ac:dyDescent="0.4">
      <c r="B38" s="204" t="s">
        <v>20</v>
      </c>
      <c r="C38" s="110"/>
      <c r="D38" s="110"/>
      <c r="E38" s="173"/>
      <c r="F38" s="174" t="str">
        <f t="shared" si="0"/>
        <v/>
      </c>
      <c r="G38" s="92">
        <f>SUMIFS('1. Staff Costs'!P:P,'1. Staff Costs'!C:C,B38,'1. Staff Costs'!Q:Q,"&lt;&gt;Error")</f>
        <v>0</v>
      </c>
      <c r="H38" s="92">
        <f>SUMIFS('2-3-6. Travel Costs&amp;CoS&amp;EC'!U:U,'2-3-6. Travel Costs&amp;CoS&amp;EC'!C:C,B38,'2-3-6. Travel Costs&amp;CoS&amp;EC'!Y:Y,1,'2-3-6. Travel Costs&amp;CoS&amp;EC'!X:X,"&lt;&gt;Error")</f>
        <v>0</v>
      </c>
      <c r="I38" s="92">
        <f>SUMIFS('2-3-6. Travel Costs&amp;CoS&amp;EC'!V:V,'2-3-6. Travel Costs&amp;CoS&amp;EC'!C:C,B38,'2-3-6. Travel Costs&amp;CoS&amp;EC'!X:X,"&lt;&gt;Error")</f>
        <v>0</v>
      </c>
      <c r="J38" s="92">
        <f>SUMIFS('4. Equipment Costs'!R:R,'4. Equipment Costs'!C:C,B38,'4. Equipment Costs'!S:S,"&lt;&gt;Error")</f>
        <v>0</v>
      </c>
      <c r="K38" s="92">
        <f>SUMIFS('5. Subcontracting Costs'!R:R,'5. Subcontracting Costs'!C:C,B38,'5. Subcontracting Costs'!S:S,"&lt;&gt;Error")</f>
        <v>0</v>
      </c>
      <c r="L38" s="146">
        <f>SUMIFS('2-3-6. Travel Costs&amp;CoS&amp;EC'!U:U,'2-3-6. Travel Costs&amp;CoS&amp;EC'!C:C,B38,'2-3-6. Travel Costs&amp;CoS&amp;EC'!Y:Y,2,'2-3-6. Travel Costs&amp;CoS&amp;EC'!X:X,"&lt;&gt;Error")</f>
        <v>0</v>
      </c>
      <c r="M38" s="148">
        <f t="shared" si="1"/>
        <v>0</v>
      </c>
    </row>
    <row r="39" spans="2:13" s="58" customFormat="1" x14ac:dyDescent="0.4">
      <c r="B39" s="204" t="s">
        <v>21</v>
      </c>
      <c r="C39" s="110"/>
      <c r="D39" s="110"/>
      <c r="E39" s="173"/>
      <c r="F39" s="174" t="str">
        <f t="shared" si="0"/>
        <v/>
      </c>
      <c r="G39" s="92">
        <f>SUMIFS('1. Staff Costs'!P:P,'1. Staff Costs'!C:C,B39,'1. Staff Costs'!Q:Q,"&lt;&gt;Error")</f>
        <v>0</v>
      </c>
      <c r="H39" s="92">
        <f>SUMIFS('2-3-6. Travel Costs&amp;CoS&amp;EC'!U:U,'2-3-6. Travel Costs&amp;CoS&amp;EC'!C:C,B39,'2-3-6. Travel Costs&amp;CoS&amp;EC'!Y:Y,1,'2-3-6. Travel Costs&amp;CoS&amp;EC'!X:X,"&lt;&gt;Error")</f>
        <v>0</v>
      </c>
      <c r="I39" s="92">
        <f>SUMIFS('2-3-6. Travel Costs&amp;CoS&amp;EC'!V:V,'2-3-6. Travel Costs&amp;CoS&amp;EC'!C:C,B39,'2-3-6. Travel Costs&amp;CoS&amp;EC'!X:X,"&lt;&gt;Error")</f>
        <v>0</v>
      </c>
      <c r="J39" s="92">
        <f>SUMIFS('4. Equipment Costs'!R:R,'4. Equipment Costs'!C:C,B39,'4. Equipment Costs'!S:S,"&lt;&gt;Error")</f>
        <v>0</v>
      </c>
      <c r="K39" s="92">
        <f>SUMIFS('5. Subcontracting Costs'!R:R,'5. Subcontracting Costs'!C:C,B39,'5. Subcontracting Costs'!S:S,"&lt;&gt;Error")</f>
        <v>0</v>
      </c>
      <c r="L39" s="146">
        <f>SUMIFS('2-3-6. Travel Costs&amp;CoS&amp;EC'!U:U,'2-3-6. Travel Costs&amp;CoS&amp;EC'!C:C,B39,'2-3-6. Travel Costs&amp;CoS&amp;EC'!Y:Y,2,'2-3-6. Travel Costs&amp;CoS&amp;EC'!X:X,"&lt;&gt;Error")</f>
        <v>0</v>
      </c>
      <c r="M39" s="148">
        <f t="shared" si="1"/>
        <v>0</v>
      </c>
    </row>
    <row r="40" spans="2:13" s="58" customFormat="1" x14ac:dyDescent="0.4">
      <c r="B40" s="204" t="s">
        <v>22</v>
      </c>
      <c r="C40" s="110"/>
      <c r="D40" s="110"/>
      <c r="E40" s="173"/>
      <c r="F40" s="174" t="str">
        <f t="shared" si="0"/>
        <v/>
      </c>
      <c r="G40" s="92">
        <f>SUMIFS('1. Staff Costs'!P:P,'1. Staff Costs'!C:C,B40,'1. Staff Costs'!Q:Q,"&lt;&gt;Error")</f>
        <v>0</v>
      </c>
      <c r="H40" s="92">
        <f>SUMIFS('2-3-6. Travel Costs&amp;CoS&amp;EC'!U:U,'2-3-6. Travel Costs&amp;CoS&amp;EC'!C:C,B40,'2-3-6. Travel Costs&amp;CoS&amp;EC'!Y:Y,1,'2-3-6. Travel Costs&amp;CoS&amp;EC'!X:X,"&lt;&gt;Error")</f>
        <v>0</v>
      </c>
      <c r="I40" s="92">
        <f>SUMIFS('2-3-6. Travel Costs&amp;CoS&amp;EC'!V:V,'2-3-6. Travel Costs&amp;CoS&amp;EC'!C:C,B40,'2-3-6. Travel Costs&amp;CoS&amp;EC'!X:X,"&lt;&gt;Error")</f>
        <v>0</v>
      </c>
      <c r="J40" s="92">
        <f>SUMIFS('4. Equipment Costs'!R:R,'4. Equipment Costs'!C:C,B40,'4. Equipment Costs'!S:S,"&lt;&gt;Error")</f>
        <v>0</v>
      </c>
      <c r="K40" s="92">
        <f>SUMIFS('5. Subcontracting Costs'!R:R,'5. Subcontracting Costs'!C:C,B40,'5. Subcontracting Costs'!S:S,"&lt;&gt;Error")</f>
        <v>0</v>
      </c>
      <c r="L40" s="146">
        <f>SUMIFS('2-3-6. Travel Costs&amp;CoS&amp;EC'!U:U,'2-3-6. Travel Costs&amp;CoS&amp;EC'!C:C,B40,'2-3-6. Travel Costs&amp;CoS&amp;EC'!Y:Y,2,'2-3-6. Travel Costs&amp;CoS&amp;EC'!X:X,"&lt;&gt;Error")</f>
        <v>0</v>
      </c>
      <c r="M40" s="148">
        <f t="shared" si="1"/>
        <v>0</v>
      </c>
    </row>
    <row r="41" spans="2:13" s="58" customFormat="1" x14ac:dyDescent="0.4">
      <c r="B41" s="204" t="s">
        <v>23</v>
      </c>
      <c r="C41" s="110"/>
      <c r="D41" s="110"/>
      <c r="E41" s="173"/>
      <c r="F41" s="174" t="str">
        <f t="shared" si="0"/>
        <v/>
      </c>
      <c r="G41" s="92">
        <f>SUMIFS('1. Staff Costs'!P:P,'1. Staff Costs'!C:C,B41,'1. Staff Costs'!Q:Q,"&lt;&gt;Error")</f>
        <v>0</v>
      </c>
      <c r="H41" s="92">
        <f>SUMIFS('2-3-6. Travel Costs&amp;CoS&amp;EC'!U:U,'2-3-6. Travel Costs&amp;CoS&amp;EC'!C:C,B41,'2-3-6. Travel Costs&amp;CoS&amp;EC'!Y:Y,1,'2-3-6. Travel Costs&amp;CoS&amp;EC'!X:X,"&lt;&gt;Error")</f>
        <v>0</v>
      </c>
      <c r="I41" s="92">
        <f>SUMIFS('2-3-6. Travel Costs&amp;CoS&amp;EC'!V:V,'2-3-6. Travel Costs&amp;CoS&amp;EC'!C:C,B41,'2-3-6. Travel Costs&amp;CoS&amp;EC'!X:X,"&lt;&gt;Error")</f>
        <v>0</v>
      </c>
      <c r="J41" s="92">
        <f>SUMIFS('4. Equipment Costs'!R:R,'4. Equipment Costs'!C:C,B41,'4. Equipment Costs'!S:S,"&lt;&gt;Error")</f>
        <v>0</v>
      </c>
      <c r="K41" s="92">
        <f>SUMIFS('5. Subcontracting Costs'!R:R,'5. Subcontracting Costs'!C:C,B41,'5. Subcontracting Costs'!S:S,"&lt;&gt;Error")</f>
        <v>0</v>
      </c>
      <c r="L41" s="146">
        <f>SUMIFS('2-3-6. Travel Costs&amp;CoS&amp;EC'!U:U,'2-3-6. Travel Costs&amp;CoS&amp;EC'!C:C,B41,'2-3-6. Travel Costs&amp;CoS&amp;EC'!Y:Y,2,'2-3-6. Travel Costs&amp;CoS&amp;EC'!X:X,"&lt;&gt;Error")</f>
        <v>0</v>
      </c>
      <c r="M41" s="148">
        <f t="shared" si="1"/>
        <v>0</v>
      </c>
    </row>
    <row r="42" spans="2:13" s="58" customFormat="1" x14ac:dyDescent="0.4">
      <c r="B42" s="204" t="s">
        <v>24</v>
      </c>
      <c r="C42" s="110"/>
      <c r="D42" s="110"/>
      <c r="E42" s="173"/>
      <c r="F42" s="174" t="str">
        <f t="shared" si="0"/>
        <v/>
      </c>
      <c r="G42" s="92">
        <f>SUMIFS('1. Staff Costs'!P:P,'1. Staff Costs'!C:C,B42,'1. Staff Costs'!Q:Q,"&lt;&gt;Error")</f>
        <v>0</v>
      </c>
      <c r="H42" s="92">
        <f>SUMIFS('2-3-6. Travel Costs&amp;CoS&amp;EC'!U:U,'2-3-6. Travel Costs&amp;CoS&amp;EC'!C:C,B42,'2-3-6. Travel Costs&amp;CoS&amp;EC'!Y:Y,1,'2-3-6. Travel Costs&amp;CoS&amp;EC'!X:X,"&lt;&gt;Error")</f>
        <v>0</v>
      </c>
      <c r="I42" s="92">
        <f>SUMIFS('2-3-6. Travel Costs&amp;CoS&amp;EC'!V:V,'2-3-6. Travel Costs&amp;CoS&amp;EC'!C:C,B42,'2-3-6. Travel Costs&amp;CoS&amp;EC'!X:X,"&lt;&gt;Error")</f>
        <v>0</v>
      </c>
      <c r="J42" s="92">
        <f>SUMIFS('4. Equipment Costs'!R:R,'4. Equipment Costs'!C:C,B42,'4. Equipment Costs'!S:S,"&lt;&gt;Error")</f>
        <v>0</v>
      </c>
      <c r="K42" s="92">
        <f>SUMIFS('5. Subcontracting Costs'!R:R,'5. Subcontracting Costs'!C:C,B42,'5. Subcontracting Costs'!S:S,"&lt;&gt;Error")</f>
        <v>0</v>
      </c>
      <c r="L42" s="146">
        <f>SUMIFS('2-3-6. Travel Costs&amp;CoS&amp;EC'!U:U,'2-3-6. Travel Costs&amp;CoS&amp;EC'!C:C,B42,'2-3-6. Travel Costs&amp;CoS&amp;EC'!Y:Y,2,'2-3-6. Travel Costs&amp;CoS&amp;EC'!X:X,"&lt;&gt;Error")</f>
        <v>0</v>
      </c>
      <c r="M42" s="148">
        <f t="shared" si="1"/>
        <v>0</v>
      </c>
    </row>
    <row r="43" spans="2:13" s="58" customFormat="1" x14ac:dyDescent="0.4">
      <c r="B43" s="204" t="s">
        <v>106</v>
      </c>
      <c r="C43" s="110"/>
      <c r="D43" s="110"/>
      <c r="E43" s="173"/>
      <c r="F43" s="174" t="str">
        <f t="shared" si="0"/>
        <v/>
      </c>
      <c r="G43" s="92">
        <f>SUMIFS('1. Staff Costs'!P:P,'1. Staff Costs'!C:C,B43,'1. Staff Costs'!Q:Q,"&lt;&gt;Error")</f>
        <v>0</v>
      </c>
      <c r="H43" s="92">
        <f>SUMIFS('2-3-6. Travel Costs&amp;CoS&amp;EC'!U:U,'2-3-6. Travel Costs&amp;CoS&amp;EC'!C:C,B43,'2-3-6. Travel Costs&amp;CoS&amp;EC'!Y:Y,1,'2-3-6. Travel Costs&amp;CoS&amp;EC'!X:X,"&lt;&gt;Error")</f>
        <v>0</v>
      </c>
      <c r="I43" s="92">
        <f>SUMIFS('2-3-6. Travel Costs&amp;CoS&amp;EC'!V:V,'2-3-6. Travel Costs&amp;CoS&amp;EC'!C:C,B43,'2-3-6. Travel Costs&amp;CoS&amp;EC'!X:X,"&lt;&gt;Error")</f>
        <v>0</v>
      </c>
      <c r="J43" s="92">
        <f>SUMIFS('4. Equipment Costs'!R:R,'4. Equipment Costs'!C:C,B43,'4. Equipment Costs'!S:S,"&lt;&gt;Error")</f>
        <v>0</v>
      </c>
      <c r="K43" s="92">
        <f>SUMIFS('5. Subcontracting Costs'!R:R,'5. Subcontracting Costs'!C:C,B43,'5. Subcontracting Costs'!S:S,"&lt;&gt;Error")</f>
        <v>0</v>
      </c>
      <c r="L43" s="146">
        <f>SUMIFS('2-3-6. Travel Costs&amp;CoS&amp;EC'!U:U,'2-3-6. Travel Costs&amp;CoS&amp;EC'!C:C,B43,'2-3-6. Travel Costs&amp;CoS&amp;EC'!Y:Y,2,'2-3-6. Travel Costs&amp;CoS&amp;EC'!X:X,"&lt;&gt;Error")</f>
        <v>0</v>
      </c>
      <c r="M43" s="148">
        <f t="shared" si="1"/>
        <v>0</v>
      </c>
    </row>
    <row r="44" spans="2:13" s="58" customFormat="1" x14ac:dyDescent="0.4">
      <c r="B44" s="204" t="s">
        <v>107</v>
      </c>
      <c r="C44" s="110"/>
      <c r="D44" s="110"/>
      <c r="E44" s="173"/>
      <c r="F44" s="174" t="str">
        <f t="shared" si="0"/>
        <v/>
      </c>
      <c r="G44" s="92">
        <f>SUMIFS('1. Staff Costs'!P:P,'1. Staff Costs'!C:C,B44,'1. Staff Costs'!Q:Q,"&lt;&gt;Error")</f>
        <v>0</v>
      </c>
      <c r="H44" s="92">
        <f>SUMIFS('2-3-6. Travel Costs&amp;CoS&amp;EC'!U:U,'2-3-6. Travel Costs&amp;CoS&amp;EC'!C:C,B44,'2-3-6. Travel Costs&amp;CoS&amp;EC'!Y:Y,1,'2-3-6. Travel Costs&amp;CoS&amp;EC'!X:X,"&lt;&gt;Error")</f>
        <v>0</v>
      </c>
      <c r="I44" s="92">
        <f>SUMIFS('2-3-6. Travel Costs&amp;CoS&amp;EC'!V:V,'2-3-6. Travel Costs&amp;CoS&amp;EC'!C:C,B44,'2-3-6. Travel Costs&amp;CoS&amp;EC'!X:X,"&lt;&gt;Error")</f>
        <v>0</v>
      </c>
      <c r="J44" s="92">
        <f>SUMIFS('4. Equipment Costs'!R:R,'4. Equipment Costs'!C:C,B44,'4. Equipment Costs'!S:S,"&lt;&gt;Error")</f>
        <v>0</v>
      </c>
      <c r="K44" s="92">
        <f>SUMIFS('5. Subcontracting Costs'!R:R,'5. Subcontracting Costs'!C:C,B44,'5. Subcontracting Costs'!S:S,"&lt;&gt;Error")</f>
        <v>0</v>
      </c>
      <c r="L44" s="146">
        <f>SUMIFS('2-3-6. Travel Costs&amp;CoS&amp;EC'!U:U,'2-3-6. Travel Costs&amp;CoS&amp;EC'!C:C,B44,'2-3-6. Travel Costs&amp;CoS&amp;EC'!Y:Y,2,'2-3-6. Travel Costs&amp;CoS&amp;EC'!X:X,"&lt;&gt;Error")</f>
        <v>0</v>
      </c>
      <c r="M44" s="148">
        <f t="shared" si="1"/>
        <v>0</v>
      </c>
    </row>
    <row r="45" spans="2:13" s="58" customFormat="1" x14ac:dyDescent="0.4">
      <c r="B45" s="204" t="s">
        <v>108</v>
      </c>
      <c r="C45" s="110"/>
      <c r="D45" s="110"/>
      <c r="E45" s="173"/>
      <c r="F45" s="174" t="str">
        <f t="shared" si="0"/>
        <v/>
      </c>
      <c r="G45" s="92">
        <f>SUMIFS('1. Staff Costs'!P:P,'1. Staff Costs'!C:C,B45,'1. Staff Costs'!Q:Q,"&lt;&gt;Error")</f>
        <v>0</v>
      </c>
      <c r="H45" s="92">
        <f>SUMIFS('2-3-6. Travel Costs&amp;CoS&amp;EC'!U:U,'2-3-6. Travel Costs&amp;CoS&amp;EC'!C:C,B45,'2-3-6. Travel Costs&amp;CoS&amp;EC'!Y:Y,1,'2-3-6. Travel Costs&amp;CoS&amp;EC'!X:X,"&lt;&gt;Error")</f>
        <v>0</v>
      </c>
      <c r="I45" s="92">
        <f>SUMIFS('2-3-6. Travel Costs&amp;CoS&amp;EC'!V:V,'2-3-6. Travel Costs&amp;CoS&amp;EC'!C:C,B45,'2-3-6. Travel Costs&amp;CoS&amp;EC'!X:X,"&lt;&gt;Error")</f>
        <v>0</v>
      </c>
      <c r="J45" s="92">
        <f>SUMIFS('4. Equipment Costs'!R:R,'4. Equipment Costs'!C:C,B45,'4. Equipment Costs'!S:S,"&lt;&gt;Error")</f>
        <v>0</v>
      </c>
      <c r="K45" s="92">
        <f>SUMIFS('5. Subcontracting Costs'!R:R,'5. Subcontracting Costs'!C:C,B45,'5. Subcontracting Costs'!S:S,"&lt;&gt;Error")</f>
        <v>0</v>
      </c>
      <c r="L45" s="146">
        <f>SUMIFS('2-3-6. Travel Costs&amp;CoS&amp;EC'!U:U,'2-3-6. Travel Costs&amp;CoS&amp;EC'!C:C,B45,'2-3-6. Travel Costs&amp;CoS&amp;EC'!Y:Y,2,'2-3-6. Travel Costs&amp;CoS&amp;EC'!X:X,"&lt;&gt;Error")</f>
        <v>0</v>
      </c>
      <c r="M45" s="148">
        <f t="shared" si="1"/>
        <v>0</v>
      </c>
    </row>
    <row r="46" spans="2:13" s="58" customFormat="1" x14ac:dyDescent="0.4">
      <c r="B46" s="204" t="s">
        <v>109</v>
      </c>
      <c r="C46" s="110"/>
      <c r="D46" s="110"/>
      <c r="E46" s="173"/>
      <c r="F46" s="174" t="str">
        <f t="shared" si="0"/>
        <v/>
      </c>
      <c r="G46" s="92">
        <f>SUMIFS('1. Staff Costs'!P:P,'1. Staff Costs'!C:C,B46,'1. Staff Costs'!Q:Q,"&lt;&gt;Error")</f>
        <v>0</v>
      </c>
      <c r="H46" s="92">
        <f>SUMIFS('2-3-6. Travel Costs&amp;CoS&amp;EC'!U:U,'2-3-6. Travel Costs&amp;CoS&amp;EC'!C:C,B46,'2-3-6. Travel Costs&amp;CoS&amp;EC'!Y:Y,1,'2-3-6. Travel Costs&amp;CoS&amp;EC'!X:X,"&lt;&gt;Error")</f>
        <v>0</v>
      </c>
      <c r="I46" s="92">
        <f>SUMIFS('2-3-6. Travel Costs&amp;CoS&amp;EC'!V:V,'2-3-6. Travel Costs&amp;CoS&amp;EC'!C:C,B46,'2-3-6. Travel Costs&amp;CoS&amp;EC'!X:X,"&lt;&gt;Error")</f>
        <v>0</v>
      </c>
      <c r="J46" s="92">
        <f>SUMIFS('4. Equipment Costs'!R:R,'4. Equipment Costs'!C:C,B46,'4. Equipment Costs'!S:S,"&lt;&gt;Error")</f>
        <v>0</v>
      </c>
      <c r="K46" s="92">
        <f>SUMIFS('5. Subcontracting Costs'!R:R,'5. Subcontracting Costs'!C:C,B46,'5. Subcontracting Costs'!S:S,"&lt;&gt;Error")</f>
        <v>0</v>
      </c>
      <c r="L46" s="146">
        <f>SUMIFS('2-3-6. Travel Costs&amp;CoS&amp;EC'!U:U,'2-3-6. Travel Costs&amp;CoS&amp;EC'!C:C,B46,'2-3-6. Travel Costs&amp;CoS&amp;EC'!Y:Y,2,'2-3-6. Travel Costs&amp;CoS&amp;EC'!X:X,"&lt;&gt;Error")</f>
        <v>0</v>
      </c>
      <c r="M46" s="148">
        <f t="shared" si="1"/>
        <v>0</v>
      </c>
    </row>
    <row r="47" spans="2:13" s="58" customFormat="1" x14ac:dyDescent="0.4">
      <c r="B47" s="204" t="s">
        <v>110</v>
      </c>
      <c r="C47" s="110"/>
      <c r="D47" s="110"/>
      <c r="E47" s="173"/>
      <c r="F47" s="174" t="str">
        <f t="shared" si="0"/>
        <v/>
      </c>
      <c r="G47" s="92">
        <f>SUMIFS('1. Staff Costs'!P:P,'1. Staff Costs'!C:C,B47,'1. Staff Costs'!Q:Q,"&lt;&gt;Error")</f>
        <v>0</v>
      </c>
      <c r="H47" s="92">
        <f>SUMIFS('2-3-6. Travel Costs&amp;CoS&amp;EC'!U:U,'2-3-6. Travel Costs&amp;CoS&amp;EC'!C:C,B47,'2-3-6. Travel Costs&amp;CoS&amp;EC'!Y:Y,1,'2-3-6. Travel Costs&amp;CoS&amp;EC'!X:X,"&lt;&gt;Error")</f>
        <v>0</v>
      </c>
      <c r="I47" s="92">
        <f>SUMIFS('2-3-6. Travel Costs&amp;CoS&amp;EC'!V:V,'2-3-6. Travel Costs&amp;CoS&amp;EC'!C:C,B47,'2-3-6. Travel Costs&amp;CoS&amp;EC'!X:X,"&lt;&gt;Error")</f>
        <v>0</v>
      </c>
      <c r="J47" s="92">
        <f>SUMIFS('4. Equipment Costs'!R:R,'4. Equipment Costs'!C:C,B47,'4. Equipment Costs'!S:S,"&lt;&gt;Error")</f>
        <v>0</v>
      </c>
      <c r="K47" s="92">
        <f>SUMIFS('5. Subcontracting Costs'!R:R,'5. Subcontracting Costs'!C:C,B47,'5. Subcontracting Costs'!S:S,"&lt;&gt;Error")</f>
        <v>0</v>
      </c>
      <c r="L47" s="146">
        <f>SUMIFS('2-3-6. Travel Costs&amp;CoS&amp;EC'!U:U,'2-3-6. Travel Costs&amp;CoS&amp;EC'!C:C,B47,'2-3-6. Travel Costs&amp;CoS&amp;EC'!Y:Y,2,'2-3-6. Travel Costs&amp;CoS&amp;EC'!X:X,"&lt;&gt;Error")</f>
        <v>0</v>
      </c>
      <c r="M47" s="148">
        <f t="shared" si="1"/>
        <v>0</v>
      </c>
    </row>
    <row r="48" spans="2:13" s="58" customFormat="1" x14ac:dyDescent="0.4">
      <c r="B48" s="204" t="s">
        <v>111</v>
      </c>
      <c r="C48" s="110"/>
      <c r="D48" s="110"/>
      <c r="E48" s="173"/>
      <c r="F48" s="174" t="str">
        <f t="shared" si="0"/>
        <v/>
      </c>
      <c r="G48" s="92">
        <f>SUMIFS('1. Staff Costs'!P:P,'1. Staff Costs'!C:C,B48,'1. Staff Costs'!Q:Q,"&lt;&gt;Error")</f>
        <v>0</v>
      </c>
      <c r="H48" s="92">
        <f>SUMIFS('2-3-6. Travel Costs&amp;CoS&amp;EC'!U:U,'2-3-6. Travel Costs&amp;CoS&amp;EC'!C:C,B48,'2-3-6. Travel Costs&amp;CoS&amp;EC'!Y:Y,1,'2-3-6. Travel Costs&amp;CoS&amp;EC'!X:X,"&lt;&gt;Error")</f>
        <v>0</v>
      </c>
      <c r="I48" s="92">
        <f>SUMIFS('2-3-6. Travel Costs&amp;CoS&amp;EC'!V:V,'2-3-6. Travel Costs&amp;CoS&amp;EC'!C:C,B48,'2-3-6. Travel Costs&amp;CoS&amp;EC'!X:X,"&lt;&gt;Error")</f>
        <v>0</v>
      </c>
      <c r="J48" s="92">
        <f>SUMIFS('4. Equipment Costs'!R:R,'4. Equipment Costs'!C:C,B48,'4. Equipment Costs'!S:S,"&lt;&gt;Error")</f>
        <v>0</v>
      </c>
      <c r="K48" s="92">
        <f>SUMIFS('5. Subcontracting Costs'!R:R,'5. Subcontracting Costs'!C:C,B48,'5. Subcontracting Costs'!S:S,"&lt;&gt;Error")</f>
        <v>0</v>
      </c>
      <c r="L48" s="146">
        <f>SUMIFS('2-3-6. Travel Costs&amp;CoS&amp;EC'!U:U,'2-3-6. Travel Costs&amp;CoS&amp;EC'!C:C,B48,'2-3-6. Travel Costs&amp;CoS&amp;EC'!Y:Y,2,'2-3-6. Travel Costs&amp;CoS&amp;EC'!X:X,"&lt;&gt;Error")</f>
        <v>0</v>
      </c>
      <c r="M48" s="148">
        <f t="shared" si="1"/>
        <v>0</v>
      </c>
    </row>
    <row r="49" spans="2:13" s="58" customFormat="1" x14ac:dyDescent="0.4">
      <c r="B49" s="204" t="s">
        <v>112</v>
      </c>
      <c r="C49" s="110"/>
      <c r="D49" s="110"/>
      <c r="E49" s="173"/>
      <c r="F49" s="174" t="str">
        <f t="shared" si="0"/>
        <v/>
      </c>
      <c r="G49" s="92">
        <f>SUMIFS('1. Staff Costs'!P:P,'1. Staff Costs'!C:C,B49,'1. Staff Costs'!Q:Q,"&lt;&gt;Error")</f>
        <v>0</v>
      </c>
      <c r="H49" s="92">
        <f>SUMIFS('2-3-6. Travel Costs&amp;CoS&amp;EC'!U:U,'2-3-6. Travel Costs&amp;CoS&amp;EC'!C:C,B49,'2-3-6. Travel Costs&amp;CoS&amp;EC'!Y:Y,1,'2-3-6. Travel Costs&amp;CoS&amp;EC'!X:X,"&lt;&gt;Error")</f>
        <v>0</v>
      </c>
      <c r="I49" s="92">
        <f>SUMIFS('2-3-6. Travel Costs&amp;CoS&amp;EC'!V:V,'2-3-6. Travel Costs&amp;CoS&amp;EC'!C:C,B49,'2-3-6. Travel Costs&amp;CoS&amp;EC'!X:X,"&lt;&gt;Error")</f>
        <v>0</v>
      </c>
      <c r="J49" s="92">
        <f>SUMIFS('4. Equipment Costs'!R:R,'4. Equipment Costs'!C:C,B49,'4. Equipment Costs'!S:S,"&lt;&gt;Error")</f>
        <v>0</v>
      </c>
      <c r="K49" s="92">
        <f>SUMIFS('5. Subcontracting Costs'!R:R,'5. Subcontracting Costs'!C:C,B49,'5. Subcontracting Costs'!S:S,"&lt;&gt;Error")</f>
        <v>0</v>
      </c>
      <c r="L49" s="146">
        <f>SUMIFS('2-3-6. Travel Costs&amp;CoS&amp;EC'!U:U,'2-3-6. Travel Costs&amp;CoS&amp;EC'!C:C,B49,'2-3-6. Travel Costs&amp;CoS&amp;EC'!Y:Y,2,'2-3-6. Travel Costs&amp;CoS&amp;EC'!X:X,"&lt;&gt;Error")</f>
        <v>0</v>
      </c>
      <c r="M49" s="148">
        <f t="shared" si="1"/>
        <v>0</v>
      </c>
    </row>
    <row r="50" spans="2:13" s="58" customFormat="1" x14ac:dyDescent="0.4">
      <c r="B50" s="204" t="s">
        <v>113</v>
      </c>
      <c r="C50" s="110"/>
      <c r="D50" s="110"/>
      <c r="E50" s="173"/>
      <c r="F50" s="174" t="str">
        <f t="shared" si="0"/>
        <v/>
      </c>
      <c r="G50" s="92">
        <f>SUMIFS('1. Staff Costs'!P:P,'1. Staff Costs'!C:C,B50,'1. Staff Costs'!Q:Q,"&lt;&gt;Error")</f>
        <v>0</v>
      </c>
      <c r="H50" s="92">
        <f>SUMIFS('2-3-6. Travel Costs&amp;CoS&amp;EC'!U:U,'2-3-6. Travel Costs&amp;CoS&amp;EC'!C:C,B50,'2-3-6. Travel Costs&amp;CoS&amp;EC'!Y:Y,1,'2-3-6. Travel Costs&amp;CoS&amp;EC'!X:X,"&lt;&gt;Error")</f>
        <v>0</v>
      </c>
      <c r="I50" s="92">
        <f>SUMIFS('2-3-6. Travel Costs&amp;CoS&amp;EC'!V:V,'2-3-6. Travel Costs&amp;CoS&amp;EC'!C:C,B50,'2-3-6. Travel Costs&amp;CoS&amp;EC'!X:X,"&lt;&gt;Error")</f>
        <v>0</v>
      </c>
      <c r="J50" s="92">
        <f>SUMIFS('4. Equipment Costs'!R:R,'4. Equipment Costs'!C:C,B50,'4. Equipment Costs'!S:S,"&lt;&gt;Error")</f>
        <v>0</v>
      </c>
      <c r="K50" s="92">
        <f>SUMIFS('5. Subcontracting Costs'!R:R,'5. Subcontracting Costs'!C:C,B50,'5. Subcontracting Costs'!S:S,"&lt;&gt;Error")</f>
        <v>0</v>
      </c>
      <c r="L50" s="146">
        <f>SUMIFS('2-3-6. Travel Costs&amp;CoS&amp;EC'!U:U,'2-3-6. Travel Costs&amp;CoS&amp;EC'!C:C,B50,'2-3-6. Travel Costs&amp;CoS&amp;EC'!Y:Y,2,'2-3-6. Travel Costs&amp;CoS&amp;EC'!X:X,"&lt;&gt;Error")</f>
        <v>0</v>
      </c>
      <c r="M50" s="148">
        <f t="shared" si="1"/>
        <v>0</v>
      </c>
    </row>
    <row r="51" spans="2:13" s="58" customFormat="1" x14ac:dyDescent="0.4">
      <c r="B51" s="204" t="s">
        <v>114</v>
      </c>
      <c r="C51" s="110"/>
      <c r="D51" s="110"/>
      <c r="E51" s="173"/>
      <c r="F51" s="174" t="str">
        <f t="shared" si="0"/>
        <v/>
      </c>
      <c r="G51" s="92">
        <f>SUMIFS('1. Staff Costs'!P:P,'1. Staff Costs'!C:C,B51,'1. Staff Costs'!Q:Q,"&lt;&gt;Error")</f>
        <v>0</v>
      </c>
      <c r="H51" s="92">
        <f>SUMIFS('2-3-6. Travel Costs&amp;CoS&amp;EC'!U:U,'2-3-6. Travel Costs&amp;CoS&amp;EC'!C:C,B51,'2-3-6. Travel Costs&amp;CoS&amp;EC'!Y:Y,1,'2-3-6. Travel Costs&amp;CoS&amp;EC'!X:X,"&lt;&gt;Error")</f>
        <v>0</v>
      </c>
      <c r="I51" s="92">
        <f>SUMIFS('2-3-6. Travel Costs&amp;CoS&amp;EC'!V:V,'2-3-6. Travel Costs&amp;CoS&amp;EC'!C:C,B51,'2-3-6. Travel Costs&amp;CoS&amp;EC'!X:X,"&lt;&gt;Error")</f>
        <v>0</v>
      </c>
      <c r="J51" s="92">
        <f>SUMIFS('4. Equipment Costs'!R:R,'4. Equipment Costs'!C:C,B51,'4. Equipment Costs'!S:S,"&lt;&gt;Error")</f>
        <v>0</v>
      </c>
      <c r="K51" s="92">
        <f>SUMIFS('5. Subcontracting Costs'!R:R,'5. Subcontracting Costs'!C:C,B51,'5. Subcontracting Costs'!S:S,"&lt;&gt;Error")</f>
        <v>0</v>
      </c>
      <c r="L51" s="146">
        <f>SUMIFS('2-3-6. Travel Costs&amp;CoS&amp;EC'!U:U,'2-3-6. Travel Costs&amp;CoS&amp;EC'!C:C,B51,'2-3-6. Travel Costs&amp;CoS&amp;EC'!Y:Y,2,'2-3-6. Travel Costs&amp;CoS&amp;EC'!X:X,"&lt;&gt;Error")</f>
        <v>0</v>
      </c>
      <c r="M51" s="148">
        <f t="shared" si="1"/>
        <v>0</v>
      </c>
    </row>
    <row r="52" spans="2:13" s="58" customFormat="1" x14ac:dyDescent="0.4">
      <c r="B52" s="204" t="s">
        <v>115</v>
      </c>
      <c r="C52" s="110"/>
      <c r="D52" s="110"/>
      <c r="E52" s="173"/>
      <c r="F52" s="174" t="str">
        <f t="shared" si="0"/>
        <v/>
      </c>
      <c r="G52" s="92">
        <f>SUMIFS('1. Staff Costs'!P:P,'1. Staff Costs'!C:C,B52,'1. Staff Costs'!Q:Q,"&lt;&gt;Error")</f>
        <v>0</v>
      </c>
      <c r="H52" s="92">
        <f>SUMIFS('2-3-6. Travel Costs&amp;CoS&amp;EC'!U:U,'2-3-6. Travel Costs&amp;CoS&amp;EC'!C:C,B52,'2-3-6. Travel Costs&amp;CoS&amp;EC'!Y:Y,1,'2-3-6. Travel Costs&amp;CoS&amp;EC'!X:X,"&lt;&gt;Error")</f>
        <v>0</v>
      </c>
      <c r="I52" s="92">
        <f>SUMIFS('2-3-6. Travel Costs&amp;CoS&amp;EC'!V:V,'2-3-6. Travel Costs&amp;CoS&amp;EC'!C:C,B52,'2-3-6. Travel Costs&amp;CoS&amp;EC'!X:X,"&lt;&gt;Error")</f>
        <v>0</v>
      </c>
      <c r="J52" s="92">
        <f>SUMIFS('4. Equipment Costs'!R:R,'4. Equipment Costs'!C:C,B52,'4. Equipment Costs'!S:S,"&lt;&gt;Error")</f>
        <v>0</v>
      </c>
      <c r="K52" s="92">
        <f>SUMIFS('5. Subcontracting Costs'!R:R,'5. Subcontracting Costs'!C:C,B52,'5. Subcontracting Costs'!S:S,"&lt;&gt;Error")</f>
        <v>0</v>
      </c>
      <c r="L52" s="146">
        <f>SUMIFS('2-3-6. Travel Costs&amp;CoS&amp;EC'!U:U,'2-3-6. Travel Costs&amp;CoS&amp;EC'!C:C,B52,'2-3-6. Travel Costs&amp;CoS&amp;EC'!Y:Y,2,'2-3-6. Travel Costs&amp;CoS&amp;EC'!X:X,"&lt;&gt;Error")</f>
        <v>0</v>
      </c>
      <c r="M52" s="148">
        <f t="shared" si="1"/>
        <v>0</v>
      </c>
    </row>
    <row r="53" spans="2:13" s="58" customFormat="1" x14ac:dyDescent="0.4">
      <c r="B53" s="204" t="s">
        <v>116</v>
      </c>
      <c r="C53" s="110"/>
      <c r="D53" s="110"/>
      <c r="E53" s="173"/>
      <c r="F53" s="174" t="str">
        <f t="shared" si="0"/>
        <v/>
      </c>
      <c r="G53" s="92">
        <f>SUMIFS('1. Staff Costs'!P:P,'1. Staff Costs'!C:C,B53,'1. Staff Costs'!Q:Q,"&lt;&gt;Error")</f>
        <v>0</v>
      </c>
      <c r="H53" s="92">
        <f>SUMIFS('2-3-6. Travel Costs&amp;CoS&amp;EC'!U:U,'2-3-6. Travel Costs&amp;CoS&amp;EC'!C:C,B53,'2-3-6. Travel Costs&amp;CoS&amp;EC'!Y:Y,1,'2-3-6. Travel Costs&amp;CoS&amp;EC'!X:X,"&lt;&gt;Error")</f>
        <v>0</v>
      </c>
      <c r="I53" s="92">
        <f>SUMIFS('2-3-6. Travel Costs&amp;CoS&amp;EC'!V:V,'2-3-6. Travel Costs&amp;CoS&amp;EC'!C:C,B53,'2-3-6. Travel Costs&amp;CoS&amp;EC'!X:X,"&lt;&gt;Error")</f>
        <v>0</v>
      </c>
      <c r="J53" s="92">
        <f>SUMIFS('4. Equipment Costs'!R:R,'4. Equipment Costs'!C:C,B53,'4. Equipment Costs'!S:S,"&lt;&gt;Error")</f>
        <v>0</v>
      </c>
      <c r="K53" s="92">
        <f>SUMIFS('5. Subcontracting Costs'!R:R,'5. Subcontracting Costs'!C:C,B53,'5. Subcontracting Costs'!S:S,"&lt;&gt;Error")</f>
        <v>0</v>
      </c>
      <c r="L53" s="146">
        <f>SUMIFS('2-3-6. Travel Costs&amp;CoS&amp;EC'!U:U,'2-3-6. Travel Costs&amp;CoS&amp;EC'!C:C,B53,'2-3-6. Travel Costs&amp;CoS&amp;EC'!Y:Y,2,'2-3-6. Travel Costs&amp;CoS&amp;EC'!X:X,"&lt;&gt;Error")</f>
        <v>0</v>
      </c>
      <c r="M53" s="148">
        <f t="shared" si="1"/>
        <v>0</v>
      </c>
    </row>
    <row r="54" spans="2:13" s="58" customFormat="1" x14ac:dyDescent="0.4">
      <c r="B54" s="204" t="s">
        <v>117</v>
      </c>
      <c r="C54" s="110"/>
      <c r="D54" s="110"/>
      <c r="E54" s="173"/>
      <c r="F54" s="174" t="str">
        <f t="shared" si="0"/>
        <v/>
      </c>
      <c r="G54" s="92">
        <f>SUMIFS('1. Staff Costs'!P:P,'1. Staff Costs'!C:C,B54,'1. Staff Costs'!Q:Q,"&lt;&gt;Error")</f>
        <v>0</v>
      </c>
      <c r="H54" s="92">
        <f>SUMIFS('2-3-6. Travel Costs&amp;CoS&amp;EC'!U:U,'2-3-6. Travel Costs&amp;CoS&amp;EC'!C:C,B54,'2-3-6. Travel Costs&amp;CoS&amp;EC'!Y:Y,1,'2-3-6. Travel Costs&amp;CoS&amp;EC'!X:X,"&lt;&gt;Error")</f>
        <v>0</v>
      </c>
      <c r="I54" s="92">
        <f>SUMIFS('2-3-6. Travel Costs&amp;CoS&amp;EC'!V:V,'2-3-6. Travel Costs&amp;CoS&amp;EC'!C:C,B54,'2-3-6. Travel Costs&amp;CoS&amp;EC'!X:X,"&lt;&gt;Error")</f>
        <v>0</v>
      </c>
      <c r="J54" s="92">
        <f>SUMIFS('4. Equipment Costs'!R:R,'4. Equipment Costs'!C:C,B54,'4. Equipment Costs'!S:S,"&lt;&gt;Error")</f>
        <v>0</v>
      </c>
      <c r="K54" s="92">
        <f>SUMIFS('5. Subcontracting Costs'!R:R,'5. Subcontracting Costs'!C:C,B54,'5. Subcontracting Costs'!S:S,"&lt;&gt;Error")</f>
        <v>0</v>
      </c>
      <c r="L54" s="146">
        <f>SUMIFS('2-3-6. Travel Costs&amp;CoS&amp;EC'!U:U,'2-3-6. Travel Costs&amp;CoS&amp;EC'!C:C,B54,'2-3-6. Travel Costs&amp;CoS&amp;EC'!Y:Y,2,'2-3-6. Travel Costs&amp;CoS&amp;EC'!X:X,"&lt;&gt;Error")</f>
        <v>0</v>
      </c>
      <c r="M54" s="148">
        <f t="shared" si="1"/>
        <v>0</v>
      </c>
    </row>
    <row r="55" spans="2:13" s="58" customFormat="1" x14ac:dyDescent="0.4">
      <c r="B55" s="204" t="s">
        <v>118</v>
      </c>
      <c r="C55" s="110"/>
      <c r="D55" s="110"/>
      <c r="E55" s="173"/>
      <c r="F55" s="174" t="str">
        <f t="shared" ref="F55:F77" si="2">IFERROR(IF(D55&lt;&gt;"",VLOOKUP(D55,CountryType,2,FALSE),""),"Country not found")</f>
        <v/>
      </c>
      <c r="G55" s="92">
        <f>SUMIFS('1. Staff Costs'!P:P,'1. Staff Costs'!C:C,B55,'1. Staff Costs'!Q:Q,"&lt;&gt;Error")</f>
        <v>0</v>
      </c>
      <c r="H55" s="92">
        <f>SUMIFS('2-3-6. Travel Costs&amp;CoS&amp;EC'!U:U,'2-3-6. Travel Costs&amp;CoS&amp;EC'!C:C,B55,'2-3-6. Travel Costs&amp;CoS&amp;EC'!Y:Y,1,'2-3-6. Travel Costs&amp;CoS&amp;EC'!X:X,"&lt;&gt;Error")</f>
        <v>0</v>
      </c>
      <c r="I55" s="92">
        <f>SUMIFS('2-3-6. Travel Costs&amp;CoS&amp;EC'!V:V,'2-3-6. Travel Costs&amp;CoS&amp;EC'!C:C,B55,'2-3-6. Travel Costs&amp;CoS&amp;EC'!X:X,"&lt;&gt;Error")</f>
        <v>0</v>
      </c>
      <c r="J55" s="92">
        <f>SUMIFS('4. Equipment Costs'!R:R,'4. Equipment Costs'!C:C,B55,'4. Equipment Costs'!S:S,"&lt;&gt;Error")</f>
        <v>0</v>
      </c>
      <c r="K55" s="92">
        <f>SUMIFS('5. Subcontracting Costs'!R:R,'5. Subcontracting Costs'!C:C,B55,'5. Subcontracting Costs'!S:S,"&lt;&gt;Error")</f>
        <v>0</v>
      </c>
      <c r="L55" s="146">
        <f>SUMIFS('2-3-6. Travel Costs&amp;CoS&amp;EC'!U:U,'2-3-6. Travel Costs&amp;CoS&amp;EC'!C:C,B55,'2-3-6. Travel Costs&amp;CoS&amp;EC'!Y:Y,2,'2-3-6. Travel Costs&amp;CoS&amp;EC'!X:X,"&lt;&gt;Error")</f>
        <v>0</v>
      </c>
      <c r="M55" s="148">
        <f t="shared" ref="M55:M77" si="3">IF(OR(C55="",COUNTIF(CountryALL,D55)=0,COUNTIF(Role_Code,E55)=0),0,SUM(G55:L55))</f>
        <v>0</v>
      </c>
    </row>
    <row r="56" spans="2:13" s="58" customFormat="1" x14ac:dyDescent="0.4">
      <c r="B56" s="204" t="s">
        <v>119</v>
      </c>
      <c r="C56" s="110"/>
      <c r="D56" s="110"/>
      <c r="E56" s="173"/>
      <c r="F56" s="174" t="str">
        <f t="shared" si="2"/>
        <v/>
      </c>
      <c r="G56" s="92">
        <f>SUMIFS('1. Staff Costs'!P:P,'1. Staff Costs'!C:C,B56,'1. Staff Costs'!Q:Q,"&lt;&gt;Error")</f>
        <v>0</v>
      </c>
      <c r="H56" s="92">
        <f>SUMIFS('2-3-6. Travel Costs&amp;CoS&amp;EC'!U:U,'2-3-6. Travel Costs&amp;CoS&amp;EC'!C:C,B56,'2-3-6. Travel Costs&amp;CoS&amp;EC'!Y:Y,1,'2-3-6. Travel Costs&amp;CoS&amp;EC'!X:X,"&lt;&gt;Error")</f>
        <v>0</v>
      </c>
      <c r="I56" s="92">
        <f>SUMIFS('2-3-6. Travel Costs&amp;CoS&amp;EC'!V:V,'2-3-6. Travel Costs&amp;CoS&amp;EC'!C:C,B56,'2-3-6. Travel Costs&amp;CoS&amp;EC'!X:X,"&lt;&gt;Error")</f>
        <v>0</v>
      </c>
      <c r="J56" s="92">
        <f>SUMIFS('4. Equipment Costs'!R:R,'4. Equipment Costs'!C:C,B56,'4. Equipment Costs'!S:S,"&lt;&gt;Error")</f>
        <v>0</v>
      </c>
      <c r="K56" s="92">
        <f>SUMIFS('5. Subcontracting Costs'!R:R,'5. Subcontracting Costs'!C:C,B56,'5. Subcontracting Costs'!S:S,"&lt;&gt;Error")</f>
        <v>0</v>
      </c>
      <c r="L56" s="146">
        <f>SUMIFS('2-3-6. Travel Costs&amp;CoS&amp;EC'!U:U,'2-3-6. Travel Costs&amp;CoS&amp;EC'!C:C,B56,'2-3-6. Travel Costs&amp;CoS&amp;EC'!Y:Y,2,'2-3-6. Travel Costs&amp;CoS&amp;EC'!X:X,"&lt;&gt;Error")</f>
        <v>0</v>
      </c>
      <c r="M56" s="148">
        <f t="shared" si="3"/>
        <v>0</v>
      </c>
    </row>
    <row r="57" spans="2:13" s="58" customFormat="1" x14ac:dyDescent="0.4">
      <c r="B57" s="204" t="s">
        <v>120</v>
      </c>
      <c r="C57" s="110"/>
      <c r="D57" s="110"/>
      <c r="E57" s="173"/>
      <c r="F57" s="174" t="str">
        <f t="shared" si="2"/>
        <v/>
      </c>
      <c r="G57" s="92">
        <f>SUMIFS('1. Staff Costs'!P:P,'1. Staff Costs'!C:C,B57,'1. Staff Costs'!Q:Q,"&lt;&gt;Error")</f>
        <v>0</v>
      </c>
      <c r="H57" s="92">
        <f>SUMIFS('2-3-6. Travel Costs&amp;CoS&amp;EC'!U:U,'2-3-6. Travel Costs&amp;CoS&amp;EC'!C:C,B57,'2-3-6. Travel Costs&amp;CoS&amp;EC'!Y:Y,1,'2-3-6. Travel Costs&amp;CoS&amp;EC'!X:X,"&lt;&gt;Error")</f>
        <v>0</v>
      </c>
      <c r="I57" s="92">
        <f>SUMIFS('2-3-6. Travel Costs&amp;CoS&amp;EC'!V:V,'2-3-6. Travel Costs&amp;CoS&amp;EC'!C:C,B57,'2-3-6. Travel Costs&amp;CoS&amp;EC'!X:X,"&lt;&gt;Error")</f>
        <v>0</v>
      </c>
      <c r="J57" s="92">
        <f>SUMIFS('4. Equipment Costs'!R:R,'4. Equipment Costs'!C:C,B57,'4. Equipment Costs'!S:S,"&lt;&gt;Error")</f>
        <v>0</v>
      </c>
      <c r="K57" s="92">
        <f>SUMIFS('5. Subcontracting Costs'!R:R,'5. Subcontracting Costs'!C:C,B57,'5. Subcontracting Costs'!S:S,"&lt;&gt;Error")</f>
        <v>0</v>
      </c>
      <c r="L57" s="146">
        <f>SUMIFS('2-3-6. Travel Costs&amp;CoS&amp;EC'!U:U,'2-3-6. Travel Costs&amp;CoS&amp;EC'!C:C,B57,'2-3-6. Travel Costs&amp;CoS&amp;EC'!Y:Y,2,'2-3-6. Travel Costs&amp;CoS&amp;EC'!X:X,"&lt;&gt;Error")</f>
        <v>0</v>
      </c>
      <c r="M57" s="148">
        <f t="shared" si="3"/>
        <v>0</v>
      </c>
    </row>
    <row r="58" spans="2:13" s="58" customFormat="1" x14ac:dyDescent="0.4">
      <c r="B58" s="204" t="s">
        <v>121</v>
      </c>
      <c r="C58" s="110"/>
      <c r="D58" s="110"/>
      <c r="E58" s="173"/>
      <c r="F58" s="174" t="str">
        <f t="shared" si="2"/>
        <v/>
      </c>
      <c r="G58" s="92">
        <f>SUMIFS('1. Staff Costs'!P:P,'1. Staff Costs'!C:C,B58,'1. Staff Costs'!Q:Q,"&lt;&gt;Error")</f>
        <v>0</v>
      </c>
      <c r="H58" s="92">
        <f>SUMIFS('2-3-6. Travel Costs&amp;CoS&amp;EC'!U:U,'2-3-6. Travel Costs&amp;CoS&amp;EC'!C:C,B58,'2-3-6. Travel Costs&amp;CoS&amp;EC'!Y:Y,1,'2-3-6. Travel Costs&amp;CoS&amp;EC'!X:X,"&lt;&gt;Error")</f>
        <v>0</v>
      </c>
      <c r="I58" s="92">
        <f>SUMIFS('2-3-6. Travel Costs&amp;CoS&amp;EC'!V:V,'2-3-6. Travel Costs&amp;CoS&amp;EC'!C:C,B58,'2-3-6. Travel Costs&amp;CoS&amp;EC'!X:X,"&lt;&gt;Error")</f>
        <v>0</v>
      </c>
      <c r="J58" s="92">
        <f>SUMIFS('4. Equipment Costs'!R:R,'4. Equipment Costs'!C:C,B58,'4. Equipment Costs'!S:S,"&lt;&gt;Error")</f>
        <v>0</v>
      </c>
      <c r="K58" s="92">
        <f>SUMIFS('5. Subcontracting Costs'!R:R,'5. Subcontracting Costs'!C:C,B58,'5. Subcontracting Costs'!S:S,"&lt;&gt;Error")</f>
        <v>0</v>
      </c>
      <c r="L58" s="146">
        <f>SUMIFS('2-3-6. Travel Costs&amp;CoS&amp;EC'!U:U,'2-3-6. Travel Costs&amp;CoS&amp;EC'!C:C,B58,'2-3-6. Travel Costs&amp;CoS&amp;EC'!Y:Y,2,'2-3-6. Travel Costs&amp;CoS&amp;EC'!X:X,"&lt;&gt;Error")</f>
        <v>0</v>
      </c>
      <c r="M58" s="148">
        <f t="shared" si="3"/>
        <v>0</v>
      </c>
    </row>
    <row r="59" spans="2:13" s="58" customFormat="1" x14ac:dyDescent="0.4">
      <c r="B59" s="204" t="s">
        <v>122</v>
      </c>
      <c r="C59" s="110"/>
      <c r="D59" s="110"/>
      <c r="E59" s="173"/>
      <c r="F59" s="174" t="str">
        <f t="shared" si="2"/>
        <v/>
      </c>
      <c r="G59" s="92">
        <f>SUMIFS('1. Staff Costs'!P:P,'1. Staff Costs'!C:C,B59,'1. Staff Costs'!Q:Q,"&lt;&gt;Error")</f>
        <v>0</v>
      </c>
      <c r="H59" s="92">
        <f>SUMIFS('2-3-6. Travel Costs&amp;CoS&amp;EC'!U:U,'2-3-6. Travel Costs&amp;CoS&amp;EC'!C:C,B59,'2-3-6. Travel Costs&amp;CoS&amp;EC'!Y:Y,1,'2-3-6. Travel Costs&amp;CoS&amp;EC'!X:X,"&lt;&gt;Error")</f>
        <v>0</v>
      </c>
      <c r="I59" s="92">
        <f>SUMIFS('2-3-6. Travel Costs&amp;CoS&amp;EC'!V:V,'2-3-6. Travel Costs&amp;CoS&amp;EC'!C:C,B59,'2-3-6. Travel Costs&amp;CoS&amp;EC'!X:X,"&lt;&gt;Error")</f>
        <v>0</v>
      </c>
      <c r="J59" s="92">
        <f>SUMIFS('4. Equipment Costs'!R:R,'4. Equipment Costs'!C:C,B59,'4. Equipment Costs'!S:S,"&lt;&gt;Error")</f>
        <v>0</v>
      </c>
      <c r="K59" s="92">
        <f>SUMIFS('5. Subcontracting Costs'!R:R,'5. Subcontracting Costs'!C:C,B59,'5. Subcontracting Costs'!S:S,"&lt;&gt;Error")</f>
        <v>0</v>
      </c>
      <c r="L59" s="146">
        <f>SUMIFS('2-3-6. Travel Costs&amp;CoS&amp;EC'!U:U,'2-3-6. Travel Costs&amp;CoS&amp;EC'!C:C,B59,'2-3-6. Travel Costs&amp;CoS&amp;EC'!Y:Y,2,'2-3-6. Travel Costs&amp;CoS&amp;EC'!X:X,"&lt;&gt;Error")</f>
        <v>0</v>
      </c>
      <c r="M59" s="148">
        <f t="shared" si="3"/>
        <v>0</v>
      </c>
    </row>
    <row r="60" spans="2:13" s="58" customFormat="1" x14ac:dyDescent="0.4">
      <c r="B60" s="204" t="s">
        <v>123</v>
      </c>
      <c r="C60" s="110"/>
      <c r="D60" s="110"/>
      <c r="E60" s="173"/>
      <c r="F60" s="174" t="str">
        <f t="shared" si="2"/>
        <v/>
      </c>
      <c r="G60" s="92">
        <f>SUMIFS('1. Staff Costs'!P:P,'1. Staff Costs'!C:C,B60,'1. Staff Costs'!Q:Q,"&lt;&gt;Error")</f>
        <v>0</v>
      </c>
      <c r="H60" s="92">
        <f>SUMIFS('2-3-6. Travel Costs&amp;CoS&amp;EC'!U:U,'2-3-6. Travel Costs&amp;CoS&amp;EC'!C:C,B60,'2-3-6. Travel Costs&amp;CoS&amp;EC'!Y:Y,1,'2-3-6. Travel Costs&amp;CoS&amp;EC'!X:X,"&lt;&gt;Error")</f>
        <v>0</v>
      </c>
      <c r="I60" s="92">
        <f>SUMIFS('2-3-6. Travel Costs&amp;CoS&amp;EC'!V:V,'2-3-6. Travel Costs&amp;CoS&amp;EC'!C:C,B60,'2-3-6. Travel Costs&amp;CoS&amp;EC'!X:X,"&lt;&gt;Error")</f>
        <v>0</v>
      </c>
      <c r="J60" s="92">
        <f>SUMIFS('4. Equipment Costs'!R:R,'4. Equipment Costs'!C:C,B60,'4. Equipment Costs'!S:S,"&lt;&gt;Error")</f>
        <v>0</v>
      </c>
      <c r="K60" s="92">
        <f>SUMIFS('5. Subcontracting Costs'!R:R,'5. Subcontracting Costs'!C:C,B60,'5. Subcontracting Costs'!S:S,"&lt;&gt;Error")</f>
        <v>0</v>
      </c>
      <c r="L60" s="146">
        <f>SUMIFS('2-3-6. Travel Costs&amp;CoS&amp;EC'!U:U,'2-3-6. Travel Costs&amp;CoS&amp;EC'!C:C,B60,'2-3-6. Travel Costs&amp;CoS&amp;EC'!Y:Y,2,'2-3-6. Travel Costs&amp;CoS&amp;EC'!X:X,"&lt;&gt;Error")</f>
        <v>0</v>
      </c>
      <c r="M60" s="148">
        <f t="shared" si="3"/>
        <v>0</v>
      </c>
    </row>
    <row r="61" spans="2:13" s="58" customFormat="1" x14ac:dyDescent="0.4">
      <c r="B61" s="204" t="s">
        <v>124</v>
      </c>
      <c r="C61" s="110"/>
      <c r="D61" s="110"/>
      <c r="E61" s="173"/>
      <c r="F61" s="174" t="str">
        <f t="shared" si="2"/>
        <v/>
      </c>
      <c r="G61" s="92">
        <f>SUMIFS('1. Staff Costs'!P:P,'1. Staff Costs'!C:C,B61,'1. Staff Costs'!Q:Q,"&lt;&gt;Error")</f>
        <v>0</v>
      </c>
      <c r="H61" s="92">
        <f>SUMIFS('2-3-6. Travel Costs&amp;CoS&amp;EC'!U:U,'2-3-6. Travel Costs&amp;CoS&amp;EC'!C:C,B61,'2-3-6. Travel Costs&amp;CoS&amp;EC'!Y:Y,1,'2-3-6. Travel Costs&amp;CoS&amp;EC'!X:X,"&lt;&gt;Error")</f>
        <v>0</v>
      </c>
      <c r="I61" s="92">
        <f>SUMIFS('2-3-6. Travel Costs&amp;CoS&amp;EC'!V:V,'2-3-6. Travel Costs&amp;CoS&amp;EC'!C:C,B61,'2-3-6. Travel Costs&amp;CoS&amp;EC'!X:X,"&lt;&gt;Error")</f>
        <v>0</v>
      </c>
      <c r="J61" s="92">
        <f>SUMIFS('4. Equipment Costs'!R:R,'4. Equipment Costs'!C:C,B61,'4. Equipment Costs'!S:S,"&lt;&gt;Error")</f>
        <v>0</v>
      </c>
      <c r="K61" s="92">
        <f>SUMIFS('5. Subcontracting Costs'!R:R,'5. Subcontracting Costs'!C:C,B61,'5. Subcontracting Costs'!S:S,"&lt;&gt;Error")</f>
        <v>0</v>
      </c>
      <c r="L61" s="146">
        <f>SUMIFS('2-3-6. Travel Costs&amp;CoS&amp;EC'!U:U,'2-3-6. Travel Costs&amp;CoS&amp;EC'!C:C,B61,'2-3-6. Travel Costs&amp;CoS&amp;EC'!Y:Y,2,'2-3-6. Travel Costs&amp;CoS&amp;EC'!X:X,"&lt;&gt;Error")</f>
        <v>0</v>
      </c>
      <c r="M61" s="148">
        <f t="shared" si="3"/>
        <v>0</v>
      </c>
    </row>
    <row r="62" spans="2:13" s="58" customFormat="1" x14ac:dyDescent="0.4">
      <c r="B62" s="204" t="s">
        <v>125</v>
      </c>
      <c r="C62" s="110"/>
      <c r="D62" s="110"/>
      <c r="E62" s="173"/>
      <c r="F62" s="174" t="str">
        <f t="shared" si="2"/>
        <v/>
      </c>
      <c r="G62" s="92">
        <f>SUMIFS('1. Staff Costs'!P:P,'1. Staff Costs'!C:C,B62,'1. Staff Costs'!Q:Q,"&lt;&gt;Error")</f>
        <v>0</v>
      </c>
      <c r="H62" s="92">
        <f>SUMIFS('2-3-6. Travel Costs&amp;CoS&amp;EC'!U:U,'2-3-6. Travel Costs&amp;CoS&amp;EC'!C:C,B62,'2-3-6. Travel Costs&amp;CoS&amp;EC'!Y:Y,1,'2-3-6. Travel Costs&amp;CoS&amp;EC'!X:X,"&lt;&gt;Error")</f>
        <v>0</v>
      </c>
      <c r="I62" s="92">
        <f>SUMIFS('2-3-6. Travel Costs&amp;CoS&amp;EC'!V:V,'2-3-6. Travel Costs&amp;CoS&amp;EC'!C:C,B62,'2-3-6. Travel Costs&amp;CoS&amp;EC'!X:X,"&lt;&gt;Error")</f>
        <v>0</v>
      </c>
      <c r="J62" s="92">
        <f>SUMIFS('4. Equipment Costs'!R:R,'4. Equipment Costs'!C:C,B62,'4. Equipment Costs'!S:S,"&lt;&gt;Error")</f>
        <v>0</v>
      </c>
      <c r="K62" s="92">
        <f>SUMIFS('5. Subcontracting Costs'!R:R,'5. Subcontracting Costs'!C:C,B62,'5. Subcontracting Costs'!S:S,"&lt;&gt;Error")</f>
        <v>0</v>
      </c>
      <c r="L62" s="146">
        <f>SUMIFS('2-3-6. Travel Costs&amp;CoS&amp;EC'!U:U,'2-3-6. Travel Costs&amp;CoS&amp;EC'!C:C,B62,'2-3-6. Travel Costs&amp;CoS&amp;EC'!Y:Y,2,'2-3-6. Travel Costs&amp;CoS&amp;EC'!X:X,"&lt;&gt;Error")</f>
        <v>0</v>
      </c>
      <c r="M62" s="148">
        <f t="shared" si="3"/>
        <v>0</v>
      </c>
    </row>
    <row r="63" spans="2:13" s="58" customFormat="1" x14ac:dyDescent="0.4">
      <c r="B63" s="204" t="s">
        <v>132</v>
      </c>
      <c r="C63" s="110"/>
      <c r="D63" s="110"/>
      <c r="E63" s="173"/>
      <c r="F63" s="174" t="str">
        <f t="shared" si="2"/>
        <v/>
      </c>
      <c r="G63" s="92">
        <f>SUMIFS('1. Staff Costs'!P:P,'1. Staff Costs'!C:C,B63,'1. Staff Costs'!Q:Q,"&lt;&gt;Error")</f>
        <v>0</v>
      </c>
      <c r="H63" s="92">
        <f>SUMIFS('2-3-6. Travel Costs&amp;CoS&amp;EC'!U:U,'2-3-6. Travel Costs&amp;CoS&amp;EC'!C:C,B63,'2-3-6. Travel Costs&amp;CoS&amp;EC'!Y:Y,1,'2-3-6. Travel Costs&amp;CoS&amp;EC'!X:X,"&lt;&gt;Error")</f>
        <v>0</v>
      </c>
      <c r="I63" s="92">
        <f>SUMIFS('2-3-6. Travel Costs&amp;CoS&amp;EC'!V:V,'2-3-6. Travel Costs&amp;CoS&amp;EC'!C:C,B63,'2-3-6. Travel Costs&amp;CoS&amp;EC'!X:X,"&lt;&gt;Error")</f>
        <v>0</v>
      </c>
      <c r="J63" s="92">
        <f>SUMIFS('4. Equipment Costs'!R:R,'4. Equipment Costs'!C:C,B63,'4. Equipment Costs'!S:S,"&lt;&gt;Error")</f>
        <v>0</v>
      </c>
      <c r="K63" s="92">
        <f>SUMIFS('5. Subcontracting Costs'!R:R,'5. Subcontracting Costs'!C:C,B63,'5. Subcontracting Costs'!S:S,"&lt;&gt;Error")</f>
        <v>0</v>
      </c>
      <c r="L63" s="146">
        <f>SUMIFS('2-3-6. Travel Costs&amp;CoS&amp;EC'!U:U,'2-3-6. Travel Costs&amp;CoS&amp;EC'!C:C,B63,'2-3-6. Travel Costs&amp;CoS&amp;EC'!Y:Y,2,'2-3-6. Travel Costs&amp;CoS&amp;EC'!X:X,"&lt;&gt;Error")</f>
        <v>0</v>
      </c>
      <c r="M63" s="148">
        <f t="shared" si="3"/>
        <v>0</v>
      </c>
    </row>
    <row r="64" spans="2:13" s="58" customFormat="1" x14ac:dyDescent="0.4">
      <c r="B64" s="204" t="s">
        <v>133</v>
      </c>
      <c r="C64" s="110"/>
      <c r="D64" s="110"/>
      <c r="E64" s="173"/>
      <c r="F64" s="174" t="str">
        <f t="shared" si="2"/>
        <v/>
      </c>
      <c r="G64" s="92">
        <f>SUMIFS('1. Staff Costs'!P:P,'1. Staff Costs'!C:C,B64,'1. Staff Costs'!Q:Q,"&lt;&gt;Error")</f>
        <v>0</v>
      </c>
      <c r="H64" s="92">
        <f>SUMIFS('2-3-6. Travel Costs&amp;CoS&amp;EC'!U:U,'2-3-6. Travel Costs&amp;CoS&amp;EC'!C:C,B64,'2-3-6. Travel Costs&amp;CoS&amp;EC'!Y:Y,1,'2-3-6. Travel Costs&amp;CoS&amp;EC'!X:X,"&lt;&gt;Error")</f>
        <v>0</v>
      </c>
      <c r="I64" s="92">
        <f>SUMIFS('2-3-6. Travel Costs&amp;CoS&amp;EC'!V:V,'2-3-6. Travel Costs&amp;CoS&amp;EC'!C:C,B64,'2-3-6. Travel Costs&amp;CoS&amp;EC'!X:X,"&lt;&gt;Error")</f>
        <v>0</v>
      </c>
      <c r="J64" s="92">
        <f>SUMIFS('4. Equipment Costs'!R:R,'4. Equipment Costs'!C:C,B64,'4. Equipment Costs'!S:S,"&lt;&gt;Error")</f>
        <v>0</v>
      </c>
      <c r="K64" s="92">
        <f>SUMIFS('5. Subcontracting Costs'!R:R,'5. Subcontracting Costs'!C:C,B64,'5. Subcontracting Costs'!S:S,"&lt;&gt;Error")</f>
        <v>0</v>
      </c>
      <c r="L64" s="146">
        <f>SUMIFS('2-3-6. Travel Costs&amp;CoS&amp;EC'!U:U,'2-3-6. Travel Costs&amp;CoS&amp;EC'!C:C,B64,'2-3-6. Travel Costs&amp;CoS&amp;EC'!Y:Y,2,'2-3-6. Travel Costs&amp;CoS&amp;EC'!X:X,"&lt;&gt;Error")</f>
        <v>0</v>
      </c>
      <c r="M64" s="148">
        <f t="shared" si="3"/>
        <v>0</v>
      </c>
    </row>
    <row r="65" spans="2:13" s="58" customFormat="1" x14ac:dyDescent="0.4">
      <c r="B65" s="204" t="s">
        <v>134</v>
      </c>
      <c r="C65" s="110"/>
      <c r="D65" s="110"/>
      <c r="E65" s="173"/>
      <c r="F65" s="174" t="str">
        <f t="shared" si="2"/>
        <v/>
      </c>
      <c r="G65" s="92">
        <f>SUMIFS('1. Staff Costs'!P:P,'1. Staff Costs'!C:C,B65,'1. Staff Costs'!Q:Q,"&lt;&gt;Error")</f>
        <v>0</v>
      </c>
      <c r="H65" s="92">
        <f>SUMIFS('2-3-6. Travel Costs&amp;CoS&amp;EC'!U:U,'2-3-6. Travel Costs&amp;CoS&amp;EC'!C:C,B65,'2-3-6. Travel Costs&amp;CoS&amp;EC'!Y:Y,1,'2-3-6. Travel Costs&amp;CoS&amp;EC'!X:X,"&lt;&gt;Error")</f>
        <v>0</v>
      </c>
      <c r="I65" s="92">
        <f>SUMIFS('2-3-6. Travel Costs&amp;CoS&amp;EC'!V:V,'2-3-6. Travel Costs&amp;CoS&amp;EC'!C:C,B65,'2-3-6. Travel Costs&amp;CoS&amp;EC'!X:X,"&lt;&gt;Error")</f>
        <v>0</v>
      </c>
      <c r="J65" s="92">
        <f>SUMIFS('4. Equipment Costs'!R:R,'4. Equipment Costs'!C:C,B65,'4. Equipment Costs'!S:S,"&lt;&gt;Error")</f>
        <v>0</v>
      </c>
      <c r="K65" s="92">
        <f>SUMIFS('5. Subcontracting Costs'!R:R,'5. Subcontracting Costs'!C:C,B65,'5. Subcontracting Costs'!S:S,"&lt;&gt;Error")</f>
        <v>0</v>
      </c>
      <c r="L65" s="146">
        <f>SUMIFS('2-3-6. Travel Costs&amp;CoS&amp;EC'!U:U,'2-3-6. Travel Costs&amp;CoS&amp;EC'!C:C,B65,'2-3-6. Travel Costs&amp;CoS&amp;EC'!Y:Y,2,'2-3-6. Travel Costs&amp;CoS&amp;EC'!X:X,"&lt;&gt;Error")</f>
        <v>0</v>
      </c>
      <c r="M65" s="148">
        <f t="shared" si="3"/>
        <v>0</v>
      </c>
    </row>
    <row r="66" spans="2:13" s="58" customFormat="1" x14ac:dyDescent="0.4">
      <c r="B66" s="204" t="s">
        <v>135</v>
      </c>
      <c r="C66" s="110"/>
      <c r="D66" s="110"/>
      <c r="E66" s="173"/>
      <c r="F66" s="174" t="str">
        <f t="shared" si="2"/>
        <v/>
      </c>
      <c r="G66" s="92">
        <f>SUMIFS('1. Staff Costs'!P:P,'1. Staff Costs'!C:C,B66,'1. Staff Costs'!Q:Q,"&lt;&gt;Error")</f>
        <v>0</v>
      </c>
      <c r="H66" s="92">
        <f>SUMIFS('2-3-6. Travel Costs&amp;CoS&amp;EC'!U:U,'2-3-6. Travel Costs&amp;CoS&amp;EC'!C:C,B66,'2-3-6. Travel Costs&amp;CoS&amp;EC'!Y:Y,1,'2-3-6. Travel Costs&amp;CoS&amp;EC'!X:X,"&lt;&gt;Error")</f>
        <v>0</v>
      </c>
      <c r="I66" s="92">
        <f>SUMIFS('2-3-6. Travel Costs&amp;CoS&amp;EC'!V:V,'2-3-6. Travel Costs&amp;CoS&amp;EC'!C:C,B66,'2-3-6. Travel Costs&amp;CoS&amp;EC'!X:X,"&lt;&gt;Error")</f>
        <v>0</v>
      </c>
      <c r="J66" s="92">
        <f>SUMIFS('4. Equipment Costs'!R:R,'4. Equipment Costs'!C:C,B66,'4. Equipment Costs'!S:S,"&lt;&gt;Error")</f>
        <v>0</v>
      </c>
      <c r="K66" s="92">
        <f>SUMIFS('5. Subcontracting Costs'!R:R,'5. Subcontracting Costs'!C:C,B66,'5. Subcontracting Costs'!S:S,"&lt;&gt;Error")</f>
        <v>0</v>
      </c>
      <c r="L66" s="146">
        <f>SUMIFS('2-3-6. Travel Costs&amp;CoS&amp;EC'!U:U,'2-3-6. Travel Costs&amp;CoS&amp;EC'!C:C,B66,'2-3-6. Travel Costs&amp;CoS&amp;EC'!Y:Y,2,'2-3-6. Travel Costs&amp;CoS&amp;EC'!X:X,"&lt;&gt;Error")</f>
        <v>0</v>
      </c>
      <c r="M66" s="148">
        <f t="shared" si="3"/>
        <v>0</v>
      </c>
    </row>
    <row r="67" spans="2:13" s="58" customFormat="1" x14ac:dyDescent="0.4">
      <c r="B67" s="204" t="s">
        <v>136</v>
      </c>
      <c r="C67" s="110"/>
      <c r="D67" s="110"/>
      <c r="E67" s="173"/>
      <c r="F67" s="174" t="str">
        <f t="shared" si="2"/>
        <v/>
      </c>
      <c r="G67" s="92">
        <f>SUMIFS('1. Staff Costs'!P:P,'1. Staff Costs'!C:C,B67,'1. Staff Costs'!Q:Q,"&lt;&gt;Error")</f>
        <v>0</v>
      </c>
      <c r="H67" s="92">
        <f>SUMIFS('2-3-6. Travel Costs&amp;CoS&amp;EC'!U:U,'2-3-6. Travel Costs&amp;CoS&amp;EC'!C:C,B67,'2-3-6. Travel Costs&amp;CoS&amp;EC'!Y:Y,1,'2-3-6. Travel Costs&amp;CoS&amp;EC'!X:X,"&lt;&gt;Error")</f>
        <v>0</v>
      </c>
      <c r="I67" s="92">
        <f>SUMIFS('2-3-6. Travel Costs&amp;CoS&amp;EC'!V:V,'2-3-6. Travel Costs&amp;CoS&amp;EC'!C:C,B67,'2-3-6. Travel Costs&amp;CoS&amp;EC'!X:X,"&lt;&gt;Error")</f>
        <v>0</v>
      </c>
      <c r="J67" s="92">
        <f>SUMIFS('4. Equipment Costs'!R:R,'4. Equipment Costs'!C:C,B67,'4. Equipment Costs'!S:S,"&lt;&gt;Error")</f>
        <v>0</v>
      </c>
      <c r="K67" s="92">
        <f>SUMIFS('5. Subcontracting Costs'!R:R,'5. Subcontracting Costs'!C:C,B67,'5. Subcontracting Costs'!S:S,"&lt;&gt;Error")</f>
        <v>0</v>
      </c>
      <c r="L67" s="146">
        <f>SUMIFS('2-3-6. Travel Costs&amp;CoS&amp;EC'!U:U,'2-3-6. Travel Costs&amp;CoS&amp;EC'!C:C,B67,'2-3-6. Travel Costs&amp;CoS&amp;EC'!Y:Y,2,'2-3-6. Travel Costs&amp;CoS&amp;EC'!X:X,"&lt;&gt;Error")</f>
        <v>0</v>
      </c>
      <c r="M67" s="148">
        <f t="shared" si="3"/>
        <v>0</v>
      </c>
    </row>
    <row r="68" spans="2:13" s="58" customFormat="1" x14ac:dyDescent="0.4">
      <c r="B68" s="204" t="s">
        <v>137</v>
      </c>
      <c r="C68" s="110"/>
      <c r="D68" s="110"/>
      <c r="E68" s="173"/>
      <c r="F68" s="174" t="str">
        <f t="shared" si="2"/>
        <v/>
      </c>
      <c r="G68" s="92">
        <f>SUMIFS('1. Staff Costs'!P:P,'1. Staff Costs'!C:C,B68,'1. Staff Costs'!Q:Q,"&lt;&gt;Error")</f>
        <v>0</v>
      </c>
      <c r="H68" s="92">
        <f>SUMIFS('2-3-6. Travel Costs&amp;CoS&amp;EC'!U:U,'2-3-6. Travel Costs&amp;CoS&amp;EC'!C:C,B68,'2-3-6. Travel Costs&amp;CoS&amp;EC'!Y:Y,1,'2-3-6. Travel Costs&amp;CoS&amp;EC'!X:X,"&lt;&gt;Error")</f>
        <v>0</v>
      </c>
      <c r="I68" s="92">
        <f>SUMIFS('2-3-6. Travel Costs&amp;CoS&amp;EC'!V:V,'2-3-6. Travel Costs&amp;CoS&amp;EC'!C:C,B68,'2-3-6. Travel Costs&amp;CoS&amp;EC'!X:X,"&lt;&gt;Error")</f>
        <v>0</v>
      </c>
      <c r="J68" s="92">
        <f>SUMIFS('4. Equipment Costs'!R:R,'4. Equipment Costs'!C:C,B68,'4. Equipment Costs'!S:S,"&lt;&gt;Error")</f>
        <v>0</v>
      </c>
      <c r="K68" s="92">
        <f>SUMIFS('5. Subcontracting Costs'!R:R,'5. Subcontracting Costs'!C:C,B68,'5. Subcontracting Costs'!S:S,"&lt;&gt;Error")</f>
        <v>0</v>
      </c>
      <c r="L68" s="146">
        <f>SUMIFS('2-3-6. Travel Costs&amp;CoS&amp;EC'!U:U,'2-3-6. Travel Costs&amp;CoS&amp;EC'!C:C,B68,'2-3-6. Travel Costs&amp;CoS&amp;EC'!Y:Y,2,'2-3-6. Travel Costs&amp;CoS&amp;EC'!X:X,"&lt;&gt;Error")</f>
        <v>0</v>
      </c>
      <c r="M68" s="148">
        <f t="shared" si="3"/>
        <v>0</v>
      </c>
    </row>
    <row r="69" spans="2:13" s="58" customFormat="1" x14ac:dyDescent="0.4">
      <c r="B69" s="204" t="s">
        <v>138</v>
      </c>
      <c r="C69" s="110"/>
      <c r="D69" s="110"/>
      <c r="E69" s="173"/>
      <c r="F69" s="174" t="str">
        <f t="shared" si="2"/>
        <v/>
      </c>
      <c r="G69" s="92">
        <f>SUMIFS('1. Staff Costs'!P:P,'1. Staff Costs'!C:C,B69,'1. Staff Costs'!Q:Q,"&lt;&gt;Error")</f>
        <v>0</v>
      </c>
      <c r="H69" s="92">
        <f>SUMIFS('2-3-6. Travel Costs&amp;CoS&amp;EC'!U:U,'2-3-6. Travel Costs&amp;CoS&amp;EC'!C:C,B69,'2-3-6. Travel Costs&amp;CoS&amp;EC'!Y:Y,1,'2-3-6. Travel Costs&amp;CoS&amp;EC'!X:X,"&lt;&gt;Error")</f>
        <v>0</v>
      </c>
      <c r="I69" s="92">
        <f>SUMIFS('2-3-6. Travel Costs&amp;CoS&amp;EC'!V:V,'2-3-6. Travel Costs&amp;CoS&amp;EC'!C:C,B69,'2-3-6. Travel Costs&amp;CoS&amp;EC'!X:X,"&lt;&gt;Error")</f>
        <v>0</v>
      </c>
      <c r="J69" s="92">
        <f>SUMIFS('4. Equipment Costs'!R:R,'4. Equipment Costs'!C:C,B69,'4. Equipment Costs'!S:S,"&lt;&gt;Error")</f>
        <v>0</v>
      </c>
      <c r="K69" s="92">
        <f>SUMIFS('5. Subcontracting Costs'!R:R,'5. Subcontracting Costs'!C:C,B69,'5. Subcontracting Costs'!S:S,"&lt;&gt;Error")</f>
        <v>0</v>
      </c>
      <c r="L69" s="146">
        <f>SUMIFS('2-3-6. Travel Costs&amp;CoS&amp;EC'!U:U,'2-3-6. Travel Costs&amp;CoS&amp;EC'!C:C,B69,'2-3-6. Travel Costs&amp;CoS&amp;EC'!Y:Y,2,'2-3-6. Travel Costs&amp;CoS&amp;EC'!X:X,"&lt;&gt;Error")</f>
        <v>0</v>
      </c>
      <c r="M69" s="148">
        <f t="shared" si="3"/>
        <v>0</v>
      </c>
    </row>
    <row r="70" spans="2:13" s="58" customFormat="1" x14ac:dyDescent="0.4">
      <c r="B70" s="204" t="s">
        <v>139</v>
      </c>
      <c r="C70" s="110"/>
      <c r="D70" s="110"/>
      <c r="E70" s="173"/>
      <c r="F70" s="174" t="str">
        <f t="shared" si="2"/>
        <v/>
      </c>
      <c r="G70" s="92">
        <f>SUMIFS('1. Staff Costs'!P:P,'1. Staff Costs'!C:C,B70,'1. Staff Costs'!Q:Q,"&lt;&gt;Error")</f>
        <v>0</v>
      </c>
      <c r="H70" s="92">
        <f>SUMIFS('2-3-6. Travel Costs&amp;CoS&amp;EC'!U:U,'2-3-6. Travel Costs&amp;CoS&amp;EC'!C:C,B70,'2-3-6. Travel Costs&amp;CoS&amp;EC'!Y:Y,1,'2-3-6. Travel Costs&amp;CoS&amp;EC'!X:X,"&lt;&gt;Error")</f>
        <v>0</v>
      </c>
      <c r="I70" s="92">
        <f>SUMIFS('2-3-6. Travel Costs&amp;CoS&amp;EC'!V:V,'2-3-6. Travel Costs&amp;CoS&amp;EC'!C:C,B70,'2-3-6. Travel Costs&amp;CoS&amp;EC'!X:X,"&lt;&gt;Error")</f>
        <v>0</v>
      </c>
      <c r="J70" s="92">
        <f>SUMIFS('4. Equipment Costs'!R:R,'4. Equipment Costs'!C:C,B70,'4. Equipment Costs'!S:S,"&lt;&gt;Error")</f>
        <v>0</v>
      </c>
      <c r="K70" s="92">
        <f>SUMIFS('5. Subcontracting Costs'!R:R,'5. Subcontracting Costs'!C:C,B70,'5. Subcontracting Costs'!S:S,"&lt;&gt;Error")</f>
        <v>0</v>
      </c>
      <c r="L70" s="146">
        <f>SUMIFS('2-3-6. Travel Costs&amp;CoS&amp;EC'!U:U,'2-3-6. Travel Costs&amp;CoS&amp;EC'!C:C,B70,'2-3-6. Travel Costs&amp;CoS&amp;EC'!Y:Y,2,'2-3-6. Travel Costs&amp;CoS&amp;EC'!X:X,"&lt;&gt;Error")</f>
        <v>0</v>
      </c>
      <c r="M70" s="148">
        <f t="shared" si="3"/>
        <v>0</v>
      </c>
    </row>
    <row r="71" spans="2:13" s="58" customFormat="1" x14ac:dyDescent="0.4">
      <c r="B71" s="204" t="s">
        <v>140</v>
      </c>
      <c r="C71" s="110"/>
      <c r="D71" s="110"/>
      <c r="E71" s="173"/>
      <c r="F71" s="174" t="str">
        <f t="shared" si="2"/>
        <v/>
      </c>
      <c r="G71" s="92">
        <f>SUMIFS('1. Staff Costs'!P:P,'1. Staff Costs'!C:C,B71,'1. Staff Costs'!Q:Q,"&lt;&gt;Error")</f>
        <v>0</v>
      </c>
      <c r="H71" s="92">
        <f>SUMIFS('2-3-6. Travel Costs&amp;CoS&amp;EC'!U:U,'2-3-6. Travel Costs&amp;CoS&amp;EC'!C:C,B71,'2-3-6. Travel Costs&amp;CoS&amp;EC'!Y:Y,1,'2-3-6. Travel Costs&amp;CoS&amp;EC'!X:X,"&lt;&gt;Error")</f>
        <v>0</v>
      </c>
      <c r="I71" s="92">
        <f>SUMIFS('2-3-6. Travel Costs&amp;CoS&amp;EC'!V:V,'2-3-6. Travel Costs&amp;CoS&amp;EC'!C:C,B71,'2-3-6. Travel Costs&amp;CoS&amp;EC'!X:X,"&lt;&gt;Error")</f>
        <v>0</v>
      </c>
      <c r="J71" s="92">
        <f>SUMIFS('4. Equipment Costs'!R:R,'4. Equipment Costs'!C:C,B71,'4. Equipment Costs'!S:S,"&lt;&gt;Error")</f>
        <v>0</v>
      </c>
      <c r="K71" s="92">
        <f>SUMIFS('5. Subcontracting Costs'!R:R,'5. Subcontracting Costs'!C:C,B71,'5. Subcontracting Costs'!S:S,"&lt;&gt;Error")</f>
        <v>0</v>
      </c>
      <c r="L71" s="146">
        <f>SUMIFS('2-3-6. Travel Costs&amp;CoS&amp;EC'!U:U,'2-3-6. Travel Costs&amp;CoS&amp;EC'!C:C,B71,'2-3-6. Travel Costs&amp;CoS&amp;EC'!Y:Y,2,'2-3-6. Travel Costs&amp;CoS&amp;EC'!X:X,"&lt;&gt;Error")</f>
        <v>0</v>
      </c>
      <c r="M71" s="148">
        <f t="shared" si="3"/>
        <v>0</v>
      </c>
    </row>
    <row r="72" spans="2:13" s="58" customFormat="1" x14ac:dyDescent="0.4">
      <c r="B72" s="204" t="s">
        <v>141</v>
      </c>
      <c r="C72" s="110"/>
      <c r="D72" s="110"/>
      <c r="E72" s="173"/>
      <c r="F72" s="174" t="str">
        <f t="shared" si="2"/>
        <v/>
      </c>
      <c r="G72" s="92">
        <f>SUMIFS('1. Staff Costs'!P:P,'1. Staff Costs'!C:C,B72,'1. Staff Costs'!Q:Q,"&lt;&gt;Error")</f>
        <v>0</v>
      </c>
      <c r="H72" s="92">
        <f>SUMIFS('2-3-6. Travel Costs&amp;CoS&amp;EC'!U:U,'2-3-6. Travel Costs&amp;CoS&amp;EC'!C:C,B72,'2-3-6. Travel Costs&amp;CoS&amp;EC'!Y:Y,1,'2-3-6. Travel Costs&amp;CoS&amp;EC'!X:X,"&lt;&gt;Error")</f>
        <v>0</v>
      </c>
      <c r="I72" s="92">
        <f>SUMIFS('2-3-6. Travel Costs&amp;CoS&amp;EC'!V:V,'2-3-6. Travel Costs&amp;CoS&amp;EC'!C:C,B72,'2-3-6. Travel Costs&amp;CoS&amp;EC'!X:X,"&lt;&gt;Error")</f>
        <v>0</v>
      </c>
      <c r="J72" s="92">
        <f>SUMIFS('4. Equipment Costs'!R:R,'4. Equipment Costs'!C:C,B72,'4. Equipment Costs'!S:S,"&lt;&gt;Error")</f>
        <v>0</v>
      </c>
      <c r="K72" s="92">
        <f>SUMIFS('5. Subcontracting Costs'!R:R,'5. Subcontracting Costs'!C:C,B72,'5. Subcontracting Costs'!S:S,"&lt;&gt;Error")</f>
        <v>0</v>
      </c>
      <c r="L72" s="146">
        <f>SUMIFS('2-3-6. Travel Costs&amp;CoS&amp;EC'!U:U,'2-3-6. Travel Costs&amp;CoS&amp;EC'!C:C,B72,'2-3-6. Travel Costs&amp;CoS&amp;EC'!Y:Y,2,'2-3-6. Travel Costs&amp;CoS&amp;EC'!X:X,"&lt;&gt;Error")</f>
        <v>0</v>
      </c>
      <c r="M72" s="148">
        <f t="shared" si="3"/>
        <v>0</v>
      </c>
    </row>
    <row r="73" spans="2:13" s="58" customFormat="1" x14ac:dyDescent="0.4">
      <c r="B73" s="204" t="s">
        <v>146</v>
      </c>
      <c r="C73" s="110"/>
      <c r="D73" s="110"/>
      <c r="E73" s="173"/>
      <c r="F73" s="174" t="str">
        <f t="shared" si="2"/>
        <v/>
      </c>
      <c r="G73" s="92">
        <f>SUMIFS('1. Staff Costs'!P:P,'1. Staff Costs'!C:C,B73,'1. Staff Costs'!Q:Q,"&lt;&gt;Error")</f>
        <v>0</v>
      </c>
      <c r="H73" s="92">
        <f>SUMIFS('2-3-6. Travel Costs&amp;CoS&amp;EC'!U:U,'2-3-6. Travel Costs&amp;CoS&amp;EC'!C:C,B73,'2-3-6. Travel Costs&amp;CoS&amp;EC'!Y:Y,1,'2-3-6. Travel Costs&amp;CoS&amp;EC'!X:X,"&lt;&gt;Error")</f>
        <v>0</v>
      </c>
      <c r="I73" s="92">
        <f>SUMIFS('2-3-6. Travel Costs&amp;CoS&amp;EC'!V:V,'2-3-6. Travel Costs&amp;CoS&amp;EC'!C:C,B73,'2-3-6. Travel Costs&amp;CoS&amp;EC'!X:X,"&lt;&gt;Error")</f>
        <v>0</v>
      </c>
      <c r="J73" s="92">
        <f>SUMIFS('4. Equipment Costs'!R:R,'4. Equipment Costs'!C:C,B73,'4. Equipment Costs'!S:S,"&lt;&gt;Error")</f>
        <v>0</v>
      </c>
      <c r="K73" s="92">
        <f>SUMIFS('5. Subcontracting Costs'!R:R,'5. Subcontracting Costs'!C:C,B73,'5. Subcontracting Costs'!S:S,"&lt;&gt;Error")</f>
        <v>0</v>
      </c>
      <c r="L73" s="146">
        <f>SUMIFS('2-3-6. Travel Costs&amp;CoS&amp;EC'!U:U,'2-3-6. Travel Costs&amp;CoS&amp;EC'!C:C,B73,'2-3-6. Travel Costs&amp;CoS&amp;EC'!Y:Y,2,'2-3-6. Travel Costs&amp;CoS&amp;EC'!X:X,"&lt;&gt;Error")</f>
        <v>0</v>
      </c>
      <c r="M73" s="148">
        <f t="shared" si="3"/>
        <v>0</v>
      </c>
    </row>
    <row r="74" spans="2:13" s="58" customFormat="1" x14ac:dyDescent="0.4">
      <c r="B74" s="204" t="s">
        <v>147</v>
      </c>
      <c r="C74" s="110"/>
      <c r="D74" s="110"/>
      <c r="E74" s="173"/>
      <c r="F74" s="174" t="str">
        <f t="shared" si="2"/>
        <v/>
      </c>
      <c r="G74" s="92">
        <f>SUMIFS('1. Staff Costs'!P:P,'1. Staff Costs'!C:C,B74,'1. Staff Costs'!Q:Q,"&lt;&gt;Error")</f>
        <v>0</v>
      </c>
      <c r="H74" s="92">
        <f>SUMIFS('2-3-6. Travel Costs&amp;CoS&amp;EC'!U:U,'2-3-6. Travel Costs&amp;CoS&amp;EC'!C:C,B74,'2-3-6. Travel Costs&amp;CoS&amp;EC'!Y:Y,1,'2-3-6. Travel Costs&amp;CoS&amp;EC'!X:X,"&lt;&gt;Error")</f>
        <v>0</v>
      </c>
      <c r="I74" s="92">
        <f>SUMIFS('2-3-6. Travel Costs&amp;CoS&amp;EC'!V:V,'2-3-6. Travel Costs&amp;CoS&amp;EC'!C:C,B74,'2-3-6. Travel Costs&amp;CoS&amp;EC'!X:X,"&lt;&gt;Error")</f>
        <v>0</v>
      </c>
      <c r="J74" s="92">
        <f>SUMIFS('4. Equipment Costs'!R:R,'4. Equipment Costs'!C:C,B74,'4. Equipment Costs'!S:S,"&lt;&gt;Error")</f>
        <v>0</v>
      </c>
      <c r="K74" s="92">
        <f>SUMIFS('5. Subcontracting Costs'!R:R,'5. Subcontracting Costs'!C:C,B74,'5. Subcontracting Costs'!S:S,"&lt;&gt;Error")</f>
        <v>0</v>
      </c>
      <c r="L74" s="146">
        <f>SUMIFS('2-3-6. Travel Costs&amp;CoS&amp;EC'!U:U,'2-3-6. Travel Costs&amp;CoS&amp;EC'!C:C,B74,'2-3-6. Travel Costs&amp;CoS&amp;EC'!Y:Y,2,'2-3-6. Travel Costs&amp;CoS&amp;EC'!X:X,"&lt;&gt;Error")</f>
        <v>0</v>
      </c>
      <c r="M74" s="148">
        <f t="shared" si="3"/>
        <v>0</v>
      </c>
    </row>
    <row r="75" spans="2:13" s="58" customFormat="1" x14ac:dyDescent="0.4">
      <c r="B75" s="204" t="s">
        <v>148</v>
      </c>
      <c r="C75" s="110"/>
      <c r="D75" s="110"/>
      <c r="E75" s="173"/>
      <c r="F75" s="174" t="str">
        <f t="shared" si="2"/>
        <v/>
      </c>
      <c r="G75" s="92">
        <f>SUMIFS('1. Staff Costs'!P:P,'1. Staff Costs'!C:C,B75,'1. Staff Costs'!Q:Q,"&lt;&gt;Error")</f>
        <v>0</v>
      </c>
      <c r="H75" s="92">
        <f>SUMIFS('2-3-6. Travel Costs&amp;CoS&amp;EC'!U:U,'2-3-6. Travel Costs&amp;CoS&amp;EC'!C:C,B75,'2-3-6. Travel Costs&amp;CoS&amp;EC'!Y:Y,1,'2-3-6. Travel Costs&amp;CoS&amp;EC'!X:X,"&lt;&gt;Error")</f>
        <v>0</v>
      </c>
      <c r="I75" s="92">
        <f>SUMIFS('2-3-6. Travel Costs&amp;CoS&amp;EC'!V:V,'2-3-6. Travel Costs&amp;CoS&amp;EC'!C:C,B75,'2-3-6. Travel Costs&amp;CoS&amp;EC'!X:X,"&lt;&gt;Error")</f>
        <v>0</v>
      </c>
      <c r="J75" s="92">
        <f>SUMIFS('4. Equipment Costs'!R:R,'4. Equipment Costs'!C:C,B75,'4. Equipment Costs'!S:S,"&lt;&gt;Error")</f>
        <v>0</v>
      </c>
      <c r="K75" s="92">
        <f>SUMIFS('5. Subcontracting Costs'!R:R,'5. Subcontracting Costs'!C:C,B75,'5. Subcontracting Costs'!S:S,"&lt;&gt;Error")</f>
        <v>0</v>
      </c>
      <c r="L75" s="146">
        <f>SUMIFS('2-3-6. Travel Costs&amp;CoS&amp;EC'!U:U,'2-3-6. Travel Costs&amp;CoS&amp;EC'!C:C,B75,'2-3-6. Travel Costs&amp;CoS&amp;EC'!Y:Y,2,'2-3-6. Travel Costs&amp;CoS&amp;EC'!X:X,"&lt;&gt;Error")</f>
        <v>0</v>
      </c>
      <c r="M75" s="148">
        <f t="shared" si="3"/>
        <v>0</v>
      </c>
    </row>
    <row r="76" spans="2:13" s="58" customFormat="1" x14ac:dyDescent="0.4">
      <c r="B76" s="204" t="s">
        <v>149</v>
      </c>
      <c r="C76" s="110"/>
      <c r="D76" s="110"/>
      <c r="E76" s="173"/>
      <c r="F76" s="174" t="str">
        <f t="shared" si="2"/>
        <v/>
      </c>
      <c r="G76" s="92">
        <f>SUMIFS('1. Staff Costs'!P:P,'1. Staff Costs'!C:C,B76,'1. Staff Costs'!Q:Q,"&lt;&gt;Error")</f>
        <v>0</v>
      </c>
      <c r="H76" s="92">
        <f>SUMIFS('2-3-6. Travel Costs&amp;CoS&amp;EC'!U:U,'2-3-6. Travel Costs&amp;CoS&amp;EC'!C:C,B76,'2-3-6. Travel Costs&amp;CoS&amp;EC'!Y:Y,1,'2-3-6. Travel Costs&amp;CoS&amp;EC'!X:X,"&lt;&gt;Error")</f>
        <v>0</v>
      </c>
      <c r="I76" s="92">
        <f>SUMIFS('2-3-6. Travel Costs&amp;CoS&amp;EC'!V:V,'2-3-6. Travel Costs&amp;CoS&amp;EC'!C:C,B76,'2-3-6. Travel Costs&amp;CoS&amp;EC'!X:X,"&lt;&gt;Error")</f>
        <v>0</v>
      </c>
      <c r="J76" s="92">
        <f>SUMIFS('4. Equipment Costs'!R:R,'4. Equipment Costs'!C:C,B76,'4. Equipment Costs'!S:S,"&lt;&gt;Error")</f>
        <v>0</v>
      </c>
      <c r="K76" s="92">
        <f>SUMIFS('5. Subcontracting Costs'!R:R,'5. Subcontracting Costs'!C:C,B76,'5. Subcontracting Costs'!S:S,"&lt;&gt;Error")</f>
        <v>0</v>
      </c>
      <c r="L76" s="146">
        <f>SUMIFS('2-3-6. Travel Costs&amp;CoS&amp;EC'!U:U,'2-3-6. Travel Costs&amp;CoS&amp;EC'!C:C,B76,'2-3-6. Travel Costs&amp;CoS&amp;EC'!Y:Y,2,'2-3-6. Travel Costs&amp;CoS&amp;EC'!X:X,"&lt;&gt;Error")</f>
        <v>0</v>
      </c>
      <c r="M76" s="148">
        <f t="shared" si="3"/>
        <v>0</v>
      </c>
    </row>
    <row r="77" spans="2:13" s="58" customFormat="1" x14ac:dyDescent="0.4">
      <c r="B77" s="204" t="s">
        <v>150</v>
      </c>
      <c r="C77" s="110"/>
      <c r="D77" s="110"/>
      <c r="E77" s="173"/>
      <c r="F77" s="174" t="str">
        <f t="shared" si="2"/>
        <v/>
      </c>
      <c r="G77" s="92">
        <f>SUMIFS('1. Staff Costs'!P:P,'1. Staff Costs'!C:C,B77,'1. Staff Costs'!Q:Q,"&lt;&gt;Error")</f>
        <v>0</v>
      </c>
      <c r="H77" s="92">
        <f>SUMIFS('2-3-6. Travel Costs&amp;CoS&amp;EC'!U:U,'2-3-6. Travel Costs&amp;CoS&amp;EC'!C:C,B77,'2-3-6. Travel Costs&amp;CoS&amp;EC'!Y:Y,1,'2-3-6. Travel Costs&amp;CoS&amp;EC'!X:X,"&lt;&gt;Error")</f>
        <v>0</v>
      </c>
      <c r="I77" s="92">
        <f>SUMIFS('2-3-6. Travel Costs&amp;CoS&amp;EC'!V:V,'2-3-6. Travel Costs&amp;CoS&amp;EC'!C:C,B77,'2-3-6. Travel Costs&amp;CoS&amp;EC'!X:X,"&lt;&gt;Error")</f>
        <v>0</v>
      </c>
      <c r="J77" s="92">
        <f>SUMIFS('4. Equipment Costs'!R:R,'4. Equipment Costs'!C:C,B77,'4. Equipment Costs'!S:S,"&lt;&gt;Error")</f>
        <v>0</v>
      </c>
      <c r="K77" s="92">
        <f>SUMIFS('5. Subcontracting Costs'!R:R,'5. Subcontracting Costs'!C:C,B77,'5. Subcontracting Costs'!S:S,"&lt;&gt;Error")</f>
        <v>0</v>
      </c>
      <c r="L77" s="146">
        <f>SUMIFS('2-3-6. Travel Costs&amp;CoS&amp;EC'!U:U,'2-3-6. Travel Costs&amp;CoS&amp;EC'!C:C,B77,'2-3-6. Travel Costs&amp;CoS&amp;EC'!Y:Y,2,'2-3-6. Travel Costs&amp;CoS&amp;EC'!X:X,"&lt;&gt;Error")</f>
        <v>0</v>
      </c>
      <c r="M77" s="148">
        <f t="shared" si="3"/>
        <v>0</v>
      </c>
    </row>
    <row r="78" spans="2:13" x14ac:dyDescent="0.4">
      <c r="B78" s="247" t="s">
        <v>376</v>
      </c>
      <c r="C78" s="248"/>
      <c r="D78" s="248"/>
      <c r="E78" s="248"/>
      <c r="F78" s="249"/>
      <c r="G78" s="148">
        <f>SUM(G23:G77)</f>
        <v>125107</v>
      </c>
      <c r="H78" s="148">
        <f t="shared" ref="H78:M78" si="4">SUM(H23:H77)</f>
        <v>0</v>
      </c>
      <c r="I78" s="148">
        <f t="shared" si="4"/>
        <v>0</v>
      </c>
      <c r="J78" s="148">
        <f t="shared" si="4"/>
        <v>129710.22</v>
      </c>
      <c r="K78" s="148">
        <f t="shared" si="4"/>
        <v>18654.940000000002</v>
      </c>
      <c r="L78" s="148">
        <f t="shared" si="4"/>
        <v>0</v>
      </c>
      <c r="M78" s="148">
        <f t="shared" si="4"/>
        <v>273472.15999999997</v>
      </c>
    </row>
    <row r="80" spans="2:13" ht="25" customHeight="1" x14ac:dyDescent="0.4">
      <c r="B80" s="243" t="s">
        <v>208</v>
      </c>
      <c r="C80" s="243"/>
      <c r="D80" s="243"/>
      <c r="E80" s="243"/>
      <c r="F80" s="243"/>
      <c r="G80" s="243"/>
      <c r="H80" s="243"/>
      <c r="I80" s="243"/>
      <c r="J80" s="243"/>
      <c r="K80" s="243"/>
      <c r="L80" s="243"/>
      <c r="M80" s="243"/>
    </row>
    <row r="81" spans="2:13" x14ac:dyDescent="0.4">
      <c r="B81" s="76"/>
      <c r="C81" s="88"/>
      <c r="D81" s="88"/>
      <c r="E81" s="88"/>
      <c r="F81" s="88"/>
      <c r="G81" s="88"/>
      <c r="H81" s="88"/>
      <c r="I81" s="88"/>
      <c r="J81" s="88"/>
      <c r="M81" s="16"/>
    </row>
    <row r="82" spans="2:13" ht="25" customHeight="1" x14ac:dyDescent="0.4">
      <c r="B82" s="15"/>
      <c r="C82" s="228" t="s">
        <v>231</v>
      </c>
      <c r="D82" s="228"/>
      <c r="E82" s="89"/>
      <c r="F82" s="75" t="s">
        <v>209</v>
      </c>
      <c r="G82" s="229" t="s">
        <v>681</v>
      </c>
      <c r="H82" s="229"/>
      <c r="I82" s="229"/>
      <c r="J82" s="229"/>
      <c r="K82" s="229"/>
      <c r="L82" s="229"/>
      <c r="M82" s="181"/>
    </row>
    <row r="83" spans="2:13" x14ac:dyDescent="0.4">
      <c r="B83" s="15"/>
      <c r="C83" s="197"/>
      <c r="D83" s="197"/>
      <c r="E83" s="78"/>
      <c r="F83" s="78"/>
      <c r="G83" s="78"/>
      <c r="H83" s="78"/>
      <c r="I83" s="78"/>
      <c r="J83" s="78"/>
      <c r="K83" s="78"/>
      <c r="M83" s="16"/>
    </row>
    <row r="84" spans="2:13" ht="18" customHeight="1" x14ac:dyDescent="0.4">
      <c r="B84" s="15"/>
      <c r="C84" s="228"/>
      <c r="D84" s="228"/>
      <c r="E84" s="78"/>
      <c r="G84" s="78"/>
      <c r="H84" s="78"/>
      <c r="I84" s="78"/>
      <c r="J84" s="78"/>
      <c r="K84" s="78"/>
      <c r="M84" s="16"/>
    </row>
    <row r="85" spans="2:13" x14ac:dyDescent="0.4">
      <c r="B85" s="76"/>
      <c r="C85" s="77"/>
      <c r="D85" s="77"/>
      <c r="E85" s="77"/>
      <c r="F85" s="77"/>
      <c r="H85" s="77"/>
      <c r="I85" s="77"/>
      <c r="J85" s="77"/>
      <c r="M85" s="16"/>
    </row>
    <row r="86" spans="2:13" x14ac:dyDescent="0.4">
      <c r="B86" s="15"/>
      <c r="C86" s="228" t="s">
        <v>230</v>
      </c>
      <c r="D86" s="228"/>
      <c r="E86" s="228"/>
      <c r="F86" s="78"/>
      <c r="G86" s="78"/>
      <c r="H86" s="78"/>
      <c r="I86" s="79"/>
      <c r="M86" s="16"/>
    </row>
    <row r="87" spans="2:13" x14ac:dyDescent="0.4">
      <c r="B87" s="76"/>
      <c r="C87" s="68"/>
      <c r="D87" s="68"/>
      <c r="E87" s="68"/>
      <c r="F87" s="68"/>
      <c r="G87" s="68"/>
      <c r="H87" s="68"/>
      <c r="I87" s="68"/>
      <c r="J87" s="68"/>
      <c r="M87" s="16"/>
    </row>
    <row r="88" spans="2:13" s="59" customFormat="1" ht="25" customHeight="1" x14ac:dyDescent="0.35">
      <c r="B88" s="90"/>
      <c r="C88" s="227" t="s">
        <v>225</v>
      </c>
      <c r="D88" s="236" t="s">
        <v>256</v>
      </c>
      <c r="E88" s="236"/>
      <c r="F88" s="237"/>
      <c r="G88" s="237"/>
      <c r="H88" s="237"/>
      <c r="I88" s="237"/>
      <c r="J88" s="237"/>
      <c r="K88" s="237"/>
      <c r="L88" s="237"/>
      <c r="M88" s="175"/>
    </row>
    <row r="89" spans="2:13" s="59" customFormat="1" ht="25" customHeight="1" x14ac:dyDescent="0.35">
      <c r="B89" s="90"/>
      <c r="C89" s="227"/>
      <c r="D89" s="236"/>
      <c r="E89" s="236"/>
      <c r="F89" s="237"/>
      <c r="G89" s="237"/>
      <c r="H89" s="237"/>
      <c r="I89" s="237"/>
      <c r="J89" s="237"/>
      <c r="K89" s="237"/>
      <c r="L89" s="237"/>
      <c r="M89" s="175"/>
    </row>
    <row r="90" spans="2:13" s="59" customFormat="1" ht="25" customHeight="1" x14ac:dyDescent="0.35">
      <c r="B90" s="90"/>
      <c r="C90" s="227"/>
      <c r="D90" s="236"/>
      <c r="E90" s="236"/>
      <c r="F90" s="237"/>
      <c r="G90" s="237"/>
      <c r="H90" s="237"/>
      <c r="I90" s="237"/>
      <c r="J90" s="237"/>
      <c r="K90" s="237"/>
      <c r="L90" s="237"/>
      <c r="M90" s="175"/>
    </row>
    <row r="91" spans="2:13" x14ac:dyDescent="0.4">
      <c r="B91" s="12"/>
      <c r="C91" s="81"/>
      <c r="D91" s="82"/>
      <c r="E91" s="83"/>
      <c r="F91" s="84"/>
      <c r="G91" s="13"/>
      <c r="H91" s="82"/>
      <c r="I91" s="85"/>
      <c r="J91" s="13"/>
      <c r="K91" s="13"/>
      <c r="L91" s="13"/>
      <c r="M91" s="14"/>
    </row>
    <row r="92" spans="2:13" x14ac:dyDescent="0.4">
      <c r="B92" s="86"/>
      <c r="C92" s="87"/>
      <c r="D92" s="79"/>
      <c r="E92" s="79"/>
      <c r="F92" s="79"/>
      <c r="G92" s="87"/>
      <c r="H92" s="79"/>
      <c r="I92" s="79"/>
      <c r="J92" s="79"/>
    </row>
    <row r="93" spans="2:13" x14ac:dyDescent="0.4">
      <c r="B93" s="226" t="s">
        <v>232</v>
      </c>
      <c r="C93" s="226"/>
      <c r="D93" s="226"/>
      <c r="E93" s="226"/>
      <c r="F93" s="226"/>
      <c r="G93" s="226"/>
      <c r="H93" s="226"/>
      <c r="I93" s="226"/>
      <c r="J93" s="226"/>
      <c r="K93" s="226"/>
      <c r="L93" s="226"/>
    </row>
  </sheetData>
  <sheetProtection algorithmName="SHA-512" hashValue="dg4FZUJAQ/cOqFx+BsS6ezwJeTsNq+Glgj7DZtuWgJVHye31kcFJtmGpke3ETFJq/A16UsQ9ByJN88Md+aPZCQ==" saltValue="k4JWDf9helCUrWDAF24WSQ==" spinCount="100000" sheet="1" objects="1" scenarios="1" selectLockedCells="1"/>
  <mergeCells count="38">
    <mergeCell ref="B78:F78"/>
    <mergeCell ref="I9:J9"/>
    <mergeCell ref="B21:M21"/>
    <mergeCell ref="K9:M9"/>
    <mergeCell ref="B7:M7"/>
    <mergeCell ref="E11:F11"/>
    <mergeCell ref="C84:D84"/>
    <mergeCell ref="C82:D82"/>
    <mergeCell ref="G12:H12"/>
    <mergeCell ref="G17:H17"/>
    <mergeCell ref="G16:H16"/>
    <mergeCell ref="G15:H15"/>
    <mergeCell ref="G14:H14"/>
    <mergeCell ref="G13:H13"/>
    <mergeCell ref="B18:C19"/>
    <mergeCell ref="B80:M80"/>
    <mergeCell ref="G82:L82"/>
    <mergeCell ref="B14:C14"/>
    <mergeCell ref="B13:C13"/>
    <mergeCell ref="D18:D19"/>
    <mergeCell ref="E18:F19"/>
    <mergeCell ref="B17:C17"/>
    <mergeCell ref="B93:L93"/>
    <mergeCell ref="C88:C90"/>
    <mergeCell ref="C86:E86"/>
    <mergeCell ref="D9:F9"/>
    <mergeCell ref="B11:C11"/>
    <mergeCell ref="E16:F16"/>
    <mergeCell ref="E15:F15"/>
    <mergeCell ref="E14:F14"/>
    <mergeCell ref="E17:F17"/>
    <mergeCell ref="B9:C9"/>
    <mergeCell ref="B12:C12"/>
    <mergeCell ref="B16:C16"/>
    <mergeCell ref="B15:C15"/>
    <mergeCell ref="D88:L90"/>
    <mergeCell ref="E13:F13"/>
    <mergeCell ref="E12:F12"/>
  </mergeCells>
  <conditionalFormatting sqref="G12:H17">
    <cfRule type="cellIs" dxfId="651" priority="3" operator="notEqual">
      <formula>""</formula>
    </cfRule>
  </conditionalFormatting>
  <conditionalFormatting sqref="B9:C9">
    <cfRule type="expression" dxfId="650" priority="2">
      <formula>$D$9=""</formula>
    </cfRule>
  </conditionalFormatting>
  <conditionalFormatting sqref="F82">
    <cfRule type="expression" dxfId="649" priority="1">
      <formula>$G$82=""</formula>
    </cfRule>
  </conditionalFormatting>
  <dataValidations xWindow="451" yWindow="653" count="6">
    <dataValidation type="textLength" allowBlank="1" showInputMessage="1" showErrorMessage="1" error="Max 60 characters" prompt="Max 60 characters" sqref="C23:C77">
      <formula1>0</formula1>
      <formula2>60</formula2>
    </dataValidation>
    <dataValidation type="list" allowBlank="1" showInputMessage="1" showErrorMessage="1" error="Click arrow to select Country " prompt="Click arrow to select Country " sqref="D23:D77">
      <formula1>CountryALL</formula1>
    </dataValidation>
    <dataValidation allowBlank="1" showInputMessage="1" showErrorMessage="1" error="Please fill in the Project Number" prompt="Please fill in the Project Number" sqref="D9"/>
    <dataValidation type="date" allowBlank="1" showInputMessage="1" showErrorMessage="1" error="Format not correct_x000a_Should be DD/MM/YY" prompt="DD/MM/YY" sqref="F91">
      <formula1>36526</formula1>
      <formula2>47848</formula2>
    </dataValidation>
    <dataValidation type="custom" allowBlank="1" showInputMessage="1" showErrorMessage="1" error="2 decimals only" prompt="2 decimals only" sqref="D12:D17">
      <formula1>D12=INT(D12*100)/100</formula1>
    </dataValidation>
    <dataValidation type="list" allowBlank="1" showInputMessage="1" showErrorMessage="1" error="Click arrow to select Role Code" prompt="Click arrow to select Role Code" sqref="E23:E77">
      <formula1>Role_Code</formula1>
    </dataValidation>
  </dataValidations>
  <printOptions horizontalCentered="1"/>
  <pageMargins left="0.39370078740157483" right="0.39370078740157483" top="0.74803149606299213" bottom="0.74803149606299213" header="0.31496062992125984" footer="0.31496062992125984"/>
  <pageSetup paperSize="9" scale="30" orientation="portrait" r:id="rId1"/>
  <headerFooter>
    <oddFooter>&amp;CPage &amp;P of 3</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37" operator="containsText" id="{2B1A55C0-1367-4B1E-AC08-C294F1166017}">
            <xm:f>NOT(ISERROR(SEARCH("Country not found",F23)))</xm:f>
            <xm:f>"Country not found"</xm:f>
            <x14:dxf>
              <font>
                <b/>
                <i val="0"/>
                <color theme="1"/>
              </font>
              <fill>
                <patternFill>
                  <bgColor rgb="FFFF0000"/>
                </patternFill>
              </fill>
            </x14:dxf>
          </x14:cfRule>
          <xm:sqref>F23:F77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B1:O90"/>
  <sheetViews>
    <sheetView showGridLines="0" topLeftCell="B7" zoomScale="70" zoomScaleNormal="70" zoomScaleSheetLayoutView="70" workbookViewId="0">
      <selection activeCell="B7" sqref="B7:M7"/>
    </sheetView>
  </sheetViews>
  <sheetFormatPr baseColWidth="10" defaultColWidth="9.1796875" defaultRowHeight="18" x14ac:dyDescent="0.4"/>
  <cols>
    <col min="1" max="1" width="1.7265625" style="5" customWidth="1"/>
    <col min="2" max="2" width="10" style="5" customWidth="1"/>
    <col min="3" max="3" width="52.7265625" style="91" customWidth="1"/>
    <col min="4" max="4" width="48.7265625" style="5" customWidth="1"/>
    <col min="5" max="6" width="24.7265625" style="5" customWidth="1"/>
    <col min="7" max="9" width="20.7265625" style="5" customWidth="1"/>
    <col min="10" max="10" width="21.7265625" style="5" customWidth="1"/>
    <col min="11" max="13" width="20.7265625" style="5" customWidth="1"/>
    <col min="14" max="14" width="1.7265625" style="5" customWidth="1"/>
    <col min="15" max="16384" width="9.1796875" style="5"/>
  </cols>
  <sheetData>
    <row r="1" spans="2:15" ht="10" customHeight="1" x14ac:dyDescent="0.4">
      <c r="G1" s="6"/>
      <c r="H1" s="6"/>
      <c r="I1" s="6"/>
      <c r="J1" s="6"/>
      <c r="K1" s="6"/>
      <c r="L1" s="6"/>
    </row>
    <row r="2" spans="2:15" s="7" customFormat="1" x14ac:dyDescent="0.4">
      <c r="B2" s="68"/>
      <c r="C2" s="68"/>
      <c r="G2" s="6"/>
      <c r="H2" s="6"/>
      <c r="I2" s="6"/>
      <c r="J2" s="6"/>
      <c r="K2" s="6"/>
      <c r="L2" s="6"/>
    </row>
    <row r="3" spans="2:15" s="7" customFormat="1" x14ac:dyDescent="0.4">
      <c r="B3" s="68"/>
      <c r="C3" s="68"/>
      <c r="D3" s="196" t="s">
        <v>129</v>
      </c>
      <c r="E3" s="69"/>
      <c r="G3" s="6"/>
      <c r="H3" s="6"/>
      <c r="I3" s="6"/>
      <c r="J3" s="6"/>
      <c r="K3" s="6"/>
      <c r="L3" s="6"/>
    </row>
    <row r="4" spans="2:15" s="7" customFormat="1" ht="20.149999999999999" customHeight="1" x14ac:dyDescent="0.4">
      <c r="B4" s="68"/>
      <c r="D4" s="196" t="s">
        <v>192</v>
      </c>
      <c r="E4" s="70"/>
      <c r="F4" s="70"/>
      <c r="G4" s="70"/>
      <c r="H4" s="70"/>
      <c r="I4" s="70"/>
      <c r="J4" s="70"/>
      <c r="K4" s="70"/>
      <c r="L4" s="70"/>
    </row>
    <row r="5" spans="2:15" s="7" customFormat="1" ht="20.149999999999999" customHeight="1" x14ac:dyDescent="0.4">
      <c r="B5" s="68"/>
      <c r="D5" s="70"/>
      <c r="E5" s="70"/>
      <c r="F5" s="70"/>
      <c r="G5" s="70"/>
      <c r="H5" s="70"/>
      <c r="I5" s="70"/>
      <c r="J5" s="70"/>
      <c r="K5" s="70"/>
      <c r="L5" s="70"/>
    </row>
    <row r="6" spans="2:15" s="7" customFormat="1" ht="10" customHeight="1" x14ac:dyDescent="0.4">
      <c r="B6" s="71"/>
      <c r="C6" s="71"/>
    </row>
    <row r="7" spans="2:15" s="7" customFormat="1" ht="50.15" customHeight="1" x14ac:dyDescent="0.4">
      <c r="B7" s="256" t="s">
        <v>366</v>
      </c>
      <c r="C7" s="256"/>
      <c r="D7" s="256"/>
      <c r="E7" s="256"/>
      <c r="F7" s="256"/>
      <c r="G7" s="256"/>
      <c r="H7" s="256"/>
      <c r="I7" s="256"/>
      <c r="J7" s="256"/>
      <c r="K7" s="256"/>
      <c r="L7" s="256"/>
      <c r="M7" s="256"/>
    </row>
    <row r="8" spans="2:15" s="7" customFormat="1" ht="20.149999999999999" customHeight="1" x14ac:dyDescent="0.4">
      <c r="B8" s="71"/>
      <c r="C8" s="71"/>
    </row>
    <row r="9" spans="2:15" s="7" customFormat="1" ht="40" customHeight="1" x14ac:dyDescent="0.4">
      <c r="B9" s="233" t="str">
        <f>'Final financial statement'!B9</f>
        <v>Project Number</v>
      </c>
      <c r="C9" s="234"/>
      <c r="D9" s="269" t="str">
        <f>IF('Final financial statement'!$D$9=0,"To encode in the final financial statement sheet",'Final financial statement'!$D$9)</f>
        <v>610456-EPP-1-2019-1-FR-EPPKA2-CBHE-JP</v>
      </c>
      <c r="E9" s="269"/>
      <c r="F9" s="269"/>
      <c r="G9" s="67"/>
      <c r="H9" s="74"/>
      <c r="I9" s="282" t="s">
        <v>212</v>
      </c>
      <c r="J9" s="282"/>
      <c r="K9" s="282"/>
      <c r="L9" s="281">
        <f>'Final financial statement'!K9</f>
        <v>294830</v>
      </c>
      <c r="M9" s="281"/>
    </row>
    <row r="10" spans="2:15" s="7" customFormat="1" ht="20.149999999999999" customHeight="1" x14ac:dyDescent="0.4">
      <c r="F10" s="72"/>
    </row>
    <row r="11" spans="2:15" s="7" customFormat="1" x14ac:dyDescent="0.4">
      <c r="B11" s="230" t="s">
        <v>207</v>
      </c>
      <c r="C11" s="230"/>
      <c r="D11" s="198" t="s">
        <v>201</v>
      </c>
      <c r="E11" s="250" t="s">
        <v>210</v>
      </c>
      <c r="F11" s="251"/>
      <c r="I11" s="259" t="s">
        <v>513</v>
      </c>
      <c r="J11" s="260"/>
      <c r="K11" s="261"/>
      <c r="L11" s="257">
        <f>ROUND(D18/2,2)</f>
        <v>449797.5</v>
      </c>
      <c r="M11" s="258"/>
    </row>
    <row r="12" spans="2:15" s="7" customFormat="1" x14ac:dyDescent="0.4">
      <c r="B12" s="235" t="s">
        <v>152</v>
      </c>
      <c r="C12" s="235"/>
      <c r="D12" s="199">
        <f>'Final financial statement'!D12</f>
        <v>269815</v>
      </c>
      <c r="E12" s="231">
        <f>'Final financial statement'!E12</f>
        <v>125107</v>
      </c>
      <c r="F12" s="231"/>
      <c r="G12" s="267" t="str">
        <f>'Final financial statement'!G12</f>
        <v/>
      </c>
      <c r="H12" s="268"/>
      <c r="I12" s="262" t="s">
        <v>514</v>
      </c>
      <c r="J12" s="263"/>
      <c r="K12" s="264"/>
      <c r="L12" s="253">
        <f>ROUND(L11*0.7,2)</f>
        <v>314858.25</v>
      </c>
      <c r="M12" s="255"/>
    </row>
    <row r="13" spans="2:15" s="7" customFormat="1" x14ac:dyDescent="0.4">
      <c r="B13" s="235" t="s">
        <v>165</v>
      </c>
      <c r="C13" s="235"/>
      <c r="D13" s="199">
        <f>'Final financial statement'!D13</f>
        <v>118570</v>
      </c>
      <c r="E13" s="231">
        <f>'Final financial statement'!E13</f>
        <v>0</v>
      </c>
      <c r="F13" s="231"/>
      <c r="G13" s="267" t="str">
        <f>'Final financial statement'!G13</f>
        <v/>
      </c>
      <c r="H13" s="268"/>
      <c r="I13" s="262" t="s">
        <v>515</v>
      </c>
      <c r="J13" s="263"/>
      <c r="K13" s="264"/>
      <c r="L13" s="257">
        <f>E18</f>
        <v>273472.16000000003</v>
      </c>
      <c r="M13" s="258"/>
    </row>
    <row r="14" spans="2:15" s="7" customFormat="1" x14ac:dyDescent="0.4">
      <c r="B14" s="235" t="s">
        <v>166</v>
      </c>
      <c r="C14" s="235"/>
      <c r="D14" s="199">
        <f>'Final financial statement'!D14</f>
        <v>307035</v>
      </c>
      <c r="E14" s="231">
        <f>'Final financial statement'!E14</f>
        <v>0</v>
      </c>
      <c r="F14" s="231"/>
      <c r="G14" s="267" t="str">
        <f>'Final financial statement'!G14</f>
        <v/>
      </c>
      <c r="H14" s="268"/>
      <c r="I14" s="262" t="s">
        <v>516</v>
      </c>
      <c r="J14" s="263"/>
      <c r="K14" s="264"/>
      <c r="L14" s="265">
        <f>IF(L12-L13&lt;0,0,L12-L13)</f>
        <v>41386.089999999967</v>
      </c>
      <c r="M14" s="266"/>
    </row>
    <row r="15" spans="2:15" s="7" customFormat="1" x14ac:dyDescent="0.4">
      <c r="B15" s="235" t="s">
        <v>163</v>
      </c>
      <c r="C15" s="235"/>
      <c r="D15" s="199">
        <f>'Final financial statement'!D15</f>
        <v>183675</v>
      </c>
      <c r="E15" s="231">
        <f>'Final financial statement'!E15</f>
        <v>129710.22</v>
      </c>
      <c r="F15" s="231"/>
      <c r="G15" s="267" t="str">
        <f>'Final financial statement'!G15</f>
        <v/>
      </c>
      <c r="H15" s="268"/>
      <c r="I15" s="262" t="s">
        <v>517</v>
      </c>
      <c r="J15" s="263"/>
      <c r="K15" s="264"/>
      <c r="L15" s="265">
        <f>ROUND(D18*0.4,2)</f>
        <v>359838</v>
      </c>
      <c r="M15" s="266"/>
    </row>
    <row r="16" spans="2:15" s="7" customFormat="1" ht="18" customHeight="1" x14ac:dyDescent="0.4">
      <c r="B16" s="235" t="s">
        <v>164</v>
      </c>
      <c r="C16" s="235"/>
      <c r="D16" s="199">
        <f>'Final financial statement'!D16</f>
        <v>20500</v>
      </c>
      <c r="E16" s="231">
        <f>'Final financial statement'!E16</f>
        <v>18654.940000000002</v>
      </c>
      <c r="F16" s="231"/>
      <c r="G16" s="267" t="str">
        <f>'Final financial statement'!G16</f>
        <v/>
      </c>
      <c r="H16" s="238"/>
      <c r="I16" s="280"/>
      <c r="J16" s="280"/>
      <c r="K16" s="280"/>
      <c r="L16" s="280"/>
      <c r="M16" s="280"/>
      <c r="O16" s="188"/>
    </row>
    <row r="17" spans="2:13" ht="18" customHeight="1" x14ac:dyDescent="0.4">
      <c r="B17" s="235" t="s">
        <v>368</v>
      </c>
      <c r="C17" s="235"/>
      <c r="D17" s="199">
        <f>'Final financial statement'!D17</f>
        <v>0</v>
      </c>
      <c r="E17" s="231">
        <f>'Final financial statement'!E17</f>
        <v>0</v>
      </c>
      <c r="F17" s="231"/>
      <c r="G17" s="267" t="str">
        <f>'Final financial statement'!G17</f>
        <v/>
      </c>
      <c r="H17" s="238"/>
      <c r="I17" s="274" t="s">
        <v>518</v>
      </c>
      <c r="J17" s="275"/>
      <c r="K17" s="276"/>
      <c r="L17" s="270">
        <f>L15-L14</f>
        <v>318451.91000000003</v>
      </c>
      <c r="M17" s="271"/>
    </row>
    <row r="18" spans="2:13" ht="18" customHeight="1" x14ac:dyDescent="0.4">
      <c r="B18" s="242" t="s">
        <v>369</v>
      </c>
      <c r="C18" s="242"/>
      <c r="D18" s="201">
        <f>'Final financial statement'!D18</f>
        <v>899595</v>
      </c>
      <c r="E18" s="245">
        <f>'Final financial statement'!E18</f>
        <v>273472.16000000003</v>
      </c>
      <c r="F18" s="245"/>
      <c r="G18" s="200"/>
      <c r="H18" s="7"/>
      <c r="I18" s="277"/>
      <c r="J18" s="278"/>
      <c r="K18" s="279"/>
      <c r="L18" s="272"/>
      <c r="M18" s="273"/>
    </row>
    <row r="19" spans="2:13" s="7" customFormat="1" ht="20.149999999999999" customHeight="1" x14ac:dyDescent="0.4">
      <c r="F19" s="72"/>
    </row>
    <row r="20" spans="2:13" s="7" customFormat="1" ht="25" customHeight="1" x14ac:dyDescent="0.4">
      <c r="B20" s="252" t="s">
        <v>367</v>
      </c>
      <c r="C20" s="252"/>
      <c r="D20" s="252"/>
      <c r="E20" s="252"/>
      <c r="F20" s="252"/>
      <c r="G20" s="252"/>
      <c r="H20" s="252"/>
      <c r="I20" s="252"/>
      <c r="J20" s="252"/>
      <c r="K20" s="252"/>
      <c r="L20" s="252"/>
      <c r="M20" s="252"/>
    </row>
    <row r="21" spans="2:13" s="7" customFormat="1" ht="54" customHeight="1" x14ac:dyDescent="0.4">
      <c r="B21" s="206" t="s">
        <v>142</v>
      </c>
      <c r="C21" s="73" t="s">
        <v>143</v>
      </c>
      <c r="D21" s="73" t="s">
        <v>0</v>
      </c>
      <c r="E21" s="73" t="s">
        <v>414</v>
      </c>
      <c r="F21" s="202" t="s">
        <v>473</v>
      </c>
      <c r="G21" s="202" t="s">
        <v>168</v>
      </c>
      <c r="H21" s="202" t="s">
        <v>169</v>
      </c>
      <c r="I21" s="202" t="s">
        <v>170</v>
      </c>
      <c r="J21" s="202" t="s">
        <v>171</v>
      </c>
      <c r="K21" s="202" t="s">
        <v>172</v>
      </c>
      <c r="L21" s="128" t="s">
        <v>368</v>
      </c>
      <c r="M21" s="128" t="s">
        <v>375</v>
      </c>
    </row>
    <row r="22" spans="2:13" s="58" customFormat="1" x14ac:dyDescent="0.4">
      <c r="B22" s="204" t="s">
        <v>6</v>
      </c>
      <c r="C22" s="109" t="str">
        <f>IF('Final financial statement'!C23=0,"",'Final financial statement'!C23)</f>
        <v>Université de Paris</v>
      </c>
      <c r="D22" s="109" t="str">
        <f>IF('Final financial statement'!D23=0,"",'Final financial statement'!D23)</f>
        <v>France</v>
      </c>
      <c r="E22" s="174" t="str">
        <f>IF('Final financial statement'!E23=0,"",'Final financial statement'!E23)</f>
        <v>Coord</v>
      </c>
      <c r="F22" s="174" t="str">
        <f>IF('Final financial statement'!F23=0,"",'Final financial statement'!F23)</f>
        <v>Programme Countries</v>
      </c>
      <c r="G22" s="92">
        <f>'Final financial statement'!G23</f>
        <v>78708</v>
      </c>
      <c r="H22" s="92">
        <f>'Final financial statement'!H23</f>
        <v>0</v>
      </c>
      <c r="I22" s="92">
        <f>'Final financial statement'!I23</f>
        <v>0</v>
      </c>
      <c r="J22" s="92">
        <f>'Final financial statement'!J23</f>
        <v>0</v>
      </c>
      <c r="K22" s="92">
        <f>'Final financial statement'!K23</f>
        <v>9050</v>
      </c>
      <c r="L22" s="92">
        <f>'Final financial statement'!L23</f>
        <v>0</v>
      </c>
      <c r="M22" s="148">
        <f>'Final financial statement'!M23</f>
        <v>87758</v>
      </c>
    </row>
    <row r="23" spans="2:13" s="58" customFormat="1" x14ac:dyDescent="0.4">
      <c r="B23" s="204" t="s">
        <v>7</v>
      </c>
      <c r="C23" s="109" t="str">
        <f>IF('Final financial statement'!C24=0,"",'Final financial statement'!C24)</f>
        <v>Universidad Industrial de Santander</v>
      </c>
      <c r="D23" s="109" t="str">
        <f>IF('Final financial statement'!D24=0,"",'Final financial statement'!D24)</f>
        <v>Colombia</v>
      </c>
      <c r="E23" s="174" t="str">
        <f>IF('Final financial statement'!E24=0,"",'Final financial statement'!E24)</f>
        <v>Partner</v>
      </c>
      <c r="F23" s="174" t="str">
        <f>IF('Final financial statement'!F24=0,"",'Final financial statement'!F24)</f>
        <v>Partner Countries</v>
      </c>
      <c r="G23" s="92">
        <f>'Final financial statement'!G24</f>
        <v>15160</v>
      </c>
      <c r="H23" s="92">
        <f>'Final financial statement'!H24</f>
        <v>0</v>
      </c>
      <c r="I23" s="92">
        <f>'Final financial statement'!I24</f>
        <v>0</v>
      </c>
      <c r="J23" s="92">
        <f>'Final financial statement'!J24</f>
        <v>30798.190000000002</v>
      </c>
      <c r="K23" s="92">
        <f>'Final financial statement'!K24</f>
        <v>9604.94</v>
      </c>
      <c r="L23" s="92">
        <f>'Final financial statement'!L24</f>
        <v>0</v>
      </c>
      <c r="M23" s="148">
        <f>'Final financial statement'!M24</f>
        <v>55563.130000000005</v>
      </c>
    </row>
    <row r="24" spans="2:13" s="58" customFormat="1" x14ac:dyDescent="0.4">
      <c r="B24" s="204" t="s">
        <v>8</v>
      </c>
      <c r="C24" s="109" t="str">
        <f>IF('Final financial statement'!C25=0,"",'Final financial statement'!C25)</f>
        <v>Universidad Antonio Narino</v>
      </c>
      <c r="D24" s="109" t="str">
        <f>IF('Final financial statement'!D25=0,"",'Final financial statement'!D25)</f>
        <v>Colombia</v>
      </c>
      <c r="E24" s="174" t="str">
        <f>IF('Final financial statement'!E25=0,"",'Final financial statement'!E25)</f>
        <v>Partner</v>
      </c>
      <c r="F24" s="174" t="str">
        <f>IF('Final financial statement'!F25=0,"",'Final financial statement'!F25)</f>
        <v>Partner Countries</v>
      </c>
      <c r="G24" s="92">
        <f>'Final financial statement'!G25</f>
        <v>3136</v>
      </c>
      <c r="H24" s="92">
        <f>'Final financial statement'!H25</f>
        <v>0</v>
      </c>
      <c r="I24" s="92">
        <f>'Final financial statement'!I25</f>
        <v>0</v>
      </c>
      <c r="J24" s="92">
        <f>'Final financial statement'!J25</f>
        <v>26126.190000000002</v>
      </c>
      <c r="K24" s="92">
        <f>'Final financial statement'!K25</f>
        <v>0</v>
      </c>
      <c r="L24" s="92">
        <f>'Final financial statement'!L25</f>
        <v>0</v>
      </c>
      <c r="M24" s="148">
        <f>'Final financial statement'!M25</f>
        <v>29262.190000000002</v>
      </c>
    </row>
    <row r="25" spans="2:13" s="58" customFormat="1" x14ac:dyDescent="0.4">
      <c r="B25" s="204" t="s">
        <v>9</v>
      </c>
      <c r="C25" s="109" t="str">
        <f>IF('Final financial statement'!C26=0,"",'Final financial statement'!C26)</f>
        <v>Universidad San Francisco de Quito</v>
      </c>
      <c r="D25" s="109" t="str">
        <f>IF('Final financial statement'!D26=0,"",'Final financial statement'!D26)</f>
        <v>Ecuador</v>
      </c>
      <c r="E25" s="174" t="str">
        <f>IF('Final financial statement'!E26=0,"",'Final financial statement'!E26)</f>
        <v>Partner</v>
      </c>
      <c r="F25" s="174" t="str">
        <f>IF('Final financial statement'!F26=0,"",'Final financial statement'!F26)</f>
        <v>Partner Countries</v>
      </c>
      <c r="G25" s="92">
        <f>'Final financial statement'!G26</f>
        <v>2395</v>
      </c>
      <c r="H25" s="92">
        <f>'Final financial statement'!H26</f>
        <v>0</v>
      </c>
      <c r="I25" s="92">
        <f>'Final financial statement'!I26</f>
        <v>0</v>
      </c>
      <c r="J25" s="92">
        <f>'Final financial statement'!J26</f>
        <v>12205.8</v>
      </c>
      <c r="K25" s="92">
        <f>'Final financial statement'!K26</f>
        <v>0</v>
      </c>
      <c r="L25" s="92">
        <f>'Final financial statement'!L26</f>
        <v>0</v>
      </c>
      <c r="M25" s="148">
        <f>'Final financial statement'!M26</f>
        <v>14600.8</v>
      </c>
    </row>
    <row r="26" spans="2:13" s="58" customFormat="1" ht="36" x14ac:dyDescent="0.4">
      <c r="B26" s="204" t="s">
        <v>10</v>
      </c>
      <c r="C26" s="109" t="str">
        <f>IF('Final financial statement'!C27=0,"",'Final financial statement'!C27)</f>
        <v>Universidadde Investigacionde Tecnologia Experimental YACHAY</v>
      </c>
      <c r="D26" s="109" t="str">
        <f>IF('Final financial statement'!D27=0,"",'Final financial statement'!D27)</f>
        <v>Ecuador</v>
      </c>
      <c r="E26" s="174" t="str">
        <f>IF('Final financial statement'!E27=0,"",'Final financial statement'!E27)</f>
        <v>Partner</v>
      </c>
      <c r="F26" s="174" t="str">
        <f>IF('Final financial statement'!F27=0,"",'Final financial statement'!F27)</f>
        <v>Partner Countries</v>
      </c>
      <c r="G26" s="92">
        <f>'Final financial statement'!G27</f>
        <v>2622</v>
      </c>
      <c r="H26" s="92">
        <f>'Final financial statement'!H27</f>
        <v>0</v>
      </c>
      <c r="I26" s="92">
        <f>'Final financial statement'!I27</f>
        <v>0</v>
      </c>
      <c r="J26" s="92">
        <f>'Final financial statement'!J27</f>
        <v>12205.8</v>
      </c>
      <c r="K26" s="92">
        <f>'Final financial statement'!K27</f>
        <v>0</v>
      </c>
      <c r="L26" s="92">
        <f>'Final financial statement'!L27</f>
        <v>0</v>
      </c>
      <c r="M26" s="148">
        <f>'Final financial statement'!M27</f>
        <v>14827.8</v>
      </c>
    </row>
    <row r="27" spans="2:13" s="58" customFormat="1" x14ac:dyDescent="0.4">
      <c r="B27" s="204" t="s">
        <v>11</v>
      </c>
      <c r="C27" s="109" t="str">
        <f>IF('Final financial statement'!C28=0,"",'Final financial statement'!C28)</f>
        <v>Universidad Nacional Mayor de San Marcos</v>
      </c>
      <c r="D27" s="109" t="str">
        <f>IF('Final financial statement'!D28=0,"",'Final financial statement'!D28)</f>
        <v>Peru</v>
      </c>
      <c r="E27" s="174" t="str">
        <f>IF('Final financial statement'!E28=0,"",'Final financial statement'!E28)</f>
        <v>Partner</v>
      </c>
      <c r="F27" s="174" t="str">
        <f>IF('Final financial statement'!F28=0,"",'Final financial statement'!F28)</f>
        <v>Partner Countries</v>
      </c>
      <c r="G27" s="92">
        <f>'Final financial statement'!G28</f>
        <v>2876</v>
      </c>
      <c r="H27" s="92">
        <f>'Final financial statement'!H28</f>
        <v>0</v>
      </c>
      <c r="I27" s="92">
        <f>'Final financial statement'!I28</f>
        <v>0</v>
      </c>
      <c r="J27" s="92">
        <f>'Final financial statement'!J28</f>
        <v>16934.84</v>
      </c>
      <c r="K27" s="92">
        <f>'Final financial statement'!K28</f>
        <v>0</v>
      </c>
      <c r="L27" s="92">
        <f>'Final financial statement'!L28</f>
        <v>0</v>
      </c>
      <c r="M27" s="148">
        <f>'Final financial statement'!M28</f>
        <v>19810.84</v>
      </c>
    </row>
    <row r="28" spans="2:13" s="58" customFormat="1" x14ac:dyDescent="0.4">
      <c r="B28" s="204" t="s">
        <v>12</v>
      </c>
      <c r="C28" s="109" t="str">
        <f>IF('Final financial statement'!C29=0,"",'Final financial statement'!C29)</f>
        <v>Universidad Nacional de Ingenieria</v>
      </c>
      <c r="D28" s="109" t="str">
        <f>IF('Final financial statement'!D29=0,"",'Final financial statement'!D29)</f>
        <v>Peru</v>
      </c>
      <c r="E28" s="174" t="str">
        <f>IF('Final financial statement'!E29=0,"",'Final financial statement'!E29)</f>
        <v>Partner</v>
      </c>
      <c r="F28" s="174" t="str">
        <f>IF('Final financial statement'!F29=0,"",'Final financial statement'!F29)</f>
        <v>Partner Countries</v>
      </c>
      <c r="G28" s="92">
        <f>'Final financial statement'!G29</f>
        <v>2320</v>
      </c>
      <c r="H28" s="92">
        <f>'Final financial statement'!H29</f>
        <v>0</v>
      </c>
      <c r="I28" s="92">
        <f>'Final financial statement'!I29</f>
        <v>0</v>
      </c>
      <c r="J28" s="92">
        <f>'Final financial statement'!J29</f>
        <v>31439.4</v>
      </c>
      <c r="K28" s="92">
        <f>'Final financial statement'!K29</f>
        <v>0</v>
      </c>
      <c r="L28" s="92">
        <f>'Final financial statement'!L29</f>
        <v>0</v>
      </c>
      <c r="M28" s="148">
        <f>'Final financial statement'!M29</f>
        <v>33759.4</v>
      </c>
    </row>
    <row r="29" spans="2:13" s="58" customFormat="1" x14ac:dyDescent="0.4">
      <c r="B29" s="204" t="s">
        <v>13</v>
      </c>
      <c r="C29" s="109" t="str">
        <f>IF('Final financial statement'!C30=0,"",'Final financial statement'!C30)</f>
        <v>Universidad Central de Venezuela</v>
      </c>
      <c r="D29" s="109" t="str">
        <f>IF('Final financial statement'!D30=0,"",'Final financial statement'!D30)</f>
        <v>Venezuela</v>
      </c>
      <c r="E29" s="174" t="str">
        <f>IF('Final financial statement'!E30=0,"",'Final financial statement'!E30)</f>
        <v>Partner</v>
      </c>
      <c r="F29" s="174" t="str">
        <f>IF('Final financial statement'!F30=0,"",'Final financial statement'!F30)</f>
        <v>Partner Countries</v>
      </c>
      <c r="G29" s="92">
        <f>'Final financial statement'!G30</f>
        <v>2976</v>
      </c>
      <c r="H29" s="92">
        <f>'Final financial statement'!H30</f>
        <v>0</v>
      </c>
      <c r="I29" s="92">
        <f>'Final financial statement'!I30</f>
        <v>0</v>
      </c>
      <c r="J29" s="92">
        <f>'Final financial statement'!J30</f>
        <v>0</v>
      </c>
      <c r="K29" s="92">
        <f>'Final financial statement'!K30</f>
        <v>0</v>
      </c>
      <c r="L29" s="92">
        <f>'Final financial statement'!L30</f>
        <v>0</v>
      </c>
      <c r="M29" s="148">
        <f>'Final financial statement'!M30</f>
        <v>2976</v>
      </c>
    </row>
    <row r="30" spans="2:13" s="58" customFormat="1" x14ac:dyDescent="0.4">
      <c r="B30" s="204" t="s">
        <v>14</v>
      </c>
      <c r="C30" s="109" t="str">
        <f>IF('Final financial statement'!C31=0,"",'Final financial statement'!C31)</f>
        <v>Universidad Simon Bolivar</v>
      </c>
      <c r="D30" s="109" t="str">
        <f>IF('Final financial statement'!D31=0,"",'Final financial statement'!D31)</f>
        <v>Venezuela</v>
      </c>
      <c r="E30" s="174" t="str">
        <f>IF('Final financial statement'!E31=0,"",'Final financial statement'!E31)</f>
        <v>Partner</v>
      </c>
      <c r="F30" s="174" t="str">
        <f>IF('Final financial statement'!F31=0,"",'Final financial statement'!F31)</f>
        <v>Partner Countries</v>
      </c>
      <c r="G30" s="92">
        <f>'Final financial statement'!G31</f>
        <v>2976</v>
      </c>
      <c r="H30" s="92">
        <f>'Final financial statement'!H31</f>
        <v>0</v>
      </c>
      <c r="I30" s="92">
        <f>'Final financial statement'!I31</f>
        <v>0</v>
      </c>
      <c r="J30" s="92">
        <f>'Final financial statement'!J31</f>
        <v>0</v>
      </c>
      <c r="K30" s="92">
        <f>'Final financial statement'!K31</f>
        <v>0</v>
      </c>
      <c r="L30" s="92">
        <f>'Final financial statement'!L31</f>
        <v>0</v>
      </c>
      <c r="M30" s="148">
        <f>'Final financial statement'!M31</f>
        <v>2976</v>
      </c>
    </row>
    <row r="31" spans="2:13" s="58" customFormat="1" x14ac:dyDescent="0.4">
      <c r="B31" s="204" t="s">
        <v>15</v>
      </c>
      <c r="C31" s="109" t="str">
        <f>IF('Final financial statement'!C32=0,"",'Final financial statement'!C32)</f>
        <v>Université Paul Sabatier Toulouse III</v>
      </c>
      <c r="D31" s="109" t="str">
        <f>IF('Final financial statement'!D32=0,"",'Final financial statement'!D32)</f>
        <v>France</v>
      </c>
      <c r="E31" s="174" t="str">
        <f>IF('Final financial statement'!E32=0,"",'Final financial statement'!E32)</f>
        <v>Partner</v>
      </c>
      <c r="F31" s="174" t="str">
        <f>IF('Final financial statement'!F32=0,"",'Final financial statement'!F32)</f>
        <v>Programme Countries</v>
      </c>
      <c r="G31" s="92">
        <f>'Final financial statement'!G32</f>
        <v>5714</v>
      </c>
      <c r="H31" s="92">
        <f>'Final financial statement'!H32</f>
        <v>0</v>
      </c>
      <c r="I31" s="92">
        <f>'Final financial statement'!I32</f>
        <v>0</v>
      </c>
      <c r="J31" s="92">
        <f>'Final financial statement'!J32</f>
        <v>0</v>
      </c>
      <c r="K31" s="92">
        <f>'Final financial statement'!K32</f>
        <v>0</v>
      </c>
      <c r="L31" s="92">
        <f>'Final financial statement'!L32</f>
        <v>0</v>
      </c>
      <c r="M31" s="148">
        <f>'Final financial statement'!M32</f>
        <v>5714</v>
      </c>
    </row>
    <row r="32" spans="2:13" s="58" customFormat="1" x14ac:dyDescent="0.4">
      <c r="B32" s="204" t="s">
        <v>16</v>
      </c>
      <c r="C32" s="109" t="str">
        <f>IF('Final financial statement'!C33=0,"",'Final financial statement'!C33)</f>
        <v>Technische Universität Dresden</v>
      </c>
      <c r="D32" s="109" t="str">
        <f>IF('Final financial statement'!D33=0,"",'Final financial statement'!D33)</f>
        <v>Germany</v>
      </c>
      <c r="E32" s="174" t="str">
        <f>IF('Final financial statement'!E33=0,"",'Final financial statement'!E33)</f>
        <v>Partner</v>
      </c>
      <c r="F32" s="174" t="str">
        <f>IF('Final financial statement'!F33=0,"",'Final financial statement'!F33)</f>
        <v>Programme Countries</v>
      </c>
      <c r="G32" s="92">
        <f>'Final financial statement'!G33</f>
        <v>6224</v>
      </c>
      <c r="H32" s="92">
        <f>'Final financial statement'!H33</f>
        <v>0</v>
      </c>
      <c r="I32" s="92">
        <f>'Final financial statement'!I33</f>
        <v>0</v>
      </c>
      <c r="J32" s="92">
        <f>'Final financial statement'!J33</f>
        <v>0</v>
      </c>
      <c r="K32" s="92">
        <f>'Final financial statement'!K33</f>
        <v>0</v>
      </c>
      <c r="L32" s="92">
        <f>'Final financial statement'!L33</f>
        <v>0</v>
      </c>
      <c r="M32" s="148">
        <f>'Final financial statement'!M33</f>
        <v>6224</v>
      </c>
    </row>
    <row r="33" spans="2:13" s="58" customFormat="1" x14ac:dyDescent="0.4">
      <c r="B33" s="204" t="s">
        <v>17</v>
      </c>
      <c r="C33" s="109" t="str">
        <f>IF('Final financial statement'!C34=0,"",'Final financial statement'!C34)</f>
        <v/>
      </c>
      <c r="D33" s="109" t="str">
        <f>IF('Final financial statement'!D34=0,"",'Final financial statement'!D34)</f>
        <v/>
      </c>
      <c r="E33" s="174" t="str">
        <f>IF('Final financial statement'!E34=0,"",'Final financial statement'!E34)</f>
        <v/>
      </c>
      <c r="F33" s="174" t="str">
        <f>IF('Final financial statement'!F34=0,"",'Final financial statement'!F34)</f>
        <v/>
      </c>
      <c r="G33" s="92">
        <f>'Final financial statement'!G34</f>
        <v>0</v>
      </c>
      <c r="H33" s="92">
        <f>'Final financial statement'!H34</f>
        <v>0</v>
      </c>
      <c r="I33" s="92">
        <f>'Final financial statement'!I34</f>
        <v>0</v>
      </c>
      <c r="J33" s="92">
        <f>'Final financial statement'!J34</f>
        <v>0</v>
      </c>
      <c r="K33" s="92">
        <f>'Final financial statement'!K34</f>
        <v>0</v>
      </c>
      <c r="L33" s="92">
        <f>'Final financial statement'!L34</f>
        <v>0</v>
      </c>
      <c r="M33" s="148">
        <f>'Final financial statement'!M34</f>
        <v>0</v>
      </c>
    </row>
    <row r="34" spans="2:13" s="58" customFormat="1" x14ac:dyDescent="0.4">
      <c r="B34" s="204" t="s">
        <v>145</v>
      </c>
      <c r="C34" s="109" t="str">
        <f>IF('Final financial statement'!C35=0,"",'Final financial statement'!C35)</f>
        <v/>
      </c>
      <c r="D34" s="109" t="str">
        <f>IF('Final financial statement'!D35=0,"",'Final financial statement'!D35)</f>
        <v/>
      </c>
      <c r="E34" s="174" t="str">
        <f>IF('Final financial statement'!E35=0,"",'Final financial statement'!E35)</f>
        <v/>
      </c>
      <c r="F34" s="174" t="str">
        <f>IF('Final financial statement'!F35=0,"",'Final financial statement'!F35)</f>
        <v/>
      </c>
      <c r="G34" s="92">
        <f>'Final financial statement'!G35</f>
        <v>0</v>
      </c>
      <c r="H34" s="92">
        <f>'Final financial statement'!H35</f>
        <v>0</v>
      </c>
      <c r="I34" s="92">
        <f>'Final financial statement'!I35</f>
        <v>0</v>
      </c>
      <c r="J34" s="92">
        <f>'Final financial statement'!J35</f>
        <v>0</v>
      </c>
      <c r="K34" s="92">
        <f>'Final financial statement'!K35</f>
        <v>0</v>
      </c>
      <c r="L34" s="92">
        <f>'Final financial statement'!L35</f>
        <v>0</v>
      </c>
      <c r="M34" s="148">
        <f>'Final financial statement'!M35</f>
        <v>0</v>
      </c>
    </row>
    <row r="35" spans="2:13" s="58" customFormat="1" x14ac:dyDescent="0.4">
      <c r="B35" s="204" t="s">
        <v>18</v>
      </c>
      <c r="C35" s="109" t="str">
        <f>IF('Final financial statement'!C36=0,"",'Final financial statement'!C36)</f>
        <v/>
      </c>
      <c r="D35" s="109" t="str">
        <f>IF('Final financial statement'!D36=0,"",'Final financial statement'!D36)</f>
        <v/>
      </c>
      <c r="E35" s="174" t="str">
        <f>IF('Final financial statement'!E36=0,"",'Final financial statement'!E36)</f>
        <v/>
      </c>
      <c r="F35" s="174" t="str">
        <f>IF('Final financial statement'!F36=0,"",'Final financial statement'!F36)</f>
        <v/>
      </c>
      <c r="G35" s="92">
        <f>'Final financial statement'!G36</f>
        <v>0</v>
      </c>
      <c r="H35" s="92">
        <f>'Final financial statement'!H36</f>
        <v>0</v>
      </c>
      <c r="I35" s="92">
        <f>'Final financial statement'!I36</f>
        <v>0</v>
      </c>
      <c r="J35" s="92">
        <f>'Final financial statement'!J36</f>
        <v>0</v>
      </c>
      <c r="K35" s="92">
        <f>'Final financial statement'!K36</f>
        <v>0</v>
      </c>
      <c r="L35" s="92">
        <f>'Final financial statement'!L36</f>
        <v>0</v>
      </c>
      <c r="M35" s="148">
        <f>'Final financial statement'!M36</f>
        <v>0</v>
      </c>
    </row>
    <row r="36" spans="2:13" s="58" customFormat="1" x14ac:dyDescent="0.4">
      <c r="B36" s="204" t="s">
        <v>19</v>
      </c>
      <c r="C36" s="109" t="str">
        <f>IF('Final financial statement'!C37=0,"",'Final financial statement'!C37)</f>
        <v/>
      </c>
      <c r="D36" s="109" t="str">
        <f>IF('Final financial statement'!D37=0,"",'Final financial statement'!D37)</f>
        <v/>
      </c>
      <c r="E36" s="174" t="str">
        <f>IF('Final financial statement'!E37=0,"",'Final financial statement'!E37)</f>
        <v/>
      </c>
      <c r="F36" s="174" t="str">
        <f>IF('Final financial statement'!F37=0,"",'Final financial statement'!F37)</f>
        <v/>
      </c>
      <c r="G36" s="92">
        <f>'Final financial statement'!G37</f>
        <v>0</v>
      </c>
      <c r="H36" s="92">
        <f>'Final financial statement'!H37</f>
        <v>0</v>
      </c>
      <c r="I36" s="92">
        <f>'Final financial statement'!I37</f>
        <v>0</v>
      </c>
      <c r="J36" s="92">
        <f>'Final financial statement'!J37</f>
        <v>0</v>
      </c>
      <c r="K36" s="92">
        <f>'Final financial statement'!K37</f>
        <v>0</v>
      </c>
      <c r="L36" s="92">
        <f>'Final financial statement'!L37</f>
        <v>0</v>
      </c>
      <c r="M36" s="148">
        <f>'Final financial statement'!M37</f>
        <v>0</v>
      </c>
    </row>
    <row r="37" spans="2:13" s="58" customFormat="1" x14ac:dyDescent="0.4">
      <c r="B37" s="204" t="s">
        <v>20</v>
      </c>
      <c r="C37" s="109" t="str">
        <f>IF('Final financial statement'!C38=0,"",'Final financial statement'!C38)</f>
        <v/>
      </c>
      <c r="D37" s="109" t="str">
        <f>IF('Final financial statement'!D38=0,"",'Final financial statement'!D38)</f>
        <v/>
      </c>
      <c r="E37" s="174" t="str">
        <f>IF('Final financial statement'!E38=0,"",'Final financial statement'!E38)</f>
        <v/>
      </c>
      <c r="F37" s="174" t="str">
        <f>IF('Final financial statement'!F38=0,"",'Final financial statement'!F38)</f>
        <v/>
      </c>
      <c r="G37" s="92">
        <f>'Final financial statement'!G38</f>
        <v>0</v>
      </c>
      <c r="H37" s="92">
        <f>'Final financial statement'!H38</f>
        <v>0</v>
      </c>
      <c r="I37" s="92">
        <f>'Final financial statement'!I38</f>
        <v>0</v>
      </c>
      <c r="J37" s="92">
        <f>'Final financial statement'!J38</f>
        <v>0</v>
      </c>
      <c r="K37" s="92">
        <f>'Final financial statement'!K38</f>
        <v>0</v>
      </c>
      <c r="L37" s="92">
        <f>'Final financial statement'!L38</f>
        <v>0</v>
      </c>
      <c r="M37" s="148">
        <f>'Final financial statement'!M38</f>
        <v>0</v>
      </c>
    </row>
    <row r="38" spans="2:13" s="58" customFormat="1" x14ac:dyDescent="0.4">
      <c r="B38" s="204" t="s">
        <v>21</v>
      </c>
      <c r="C38" s="109" t="str">
        <f>IF('Final financial statement'!C39=0,"",'Final financial statement'!C39)</f>
        <v/>
      </c>
      <c r="D38" s="109" t="str">
        <f>IF('Final financial statement'!D39=0,"",'Final financial statement'!D39)</f>
        <v/>
      </c>
      <c r="E38" s="174" t="str">
        <f>IF('Final financial statement'!E39=0,"",'Final financial statement'!E39)</f>
        <v/>
      </c>
      <c r="F38" s="174" t="str">
        <f>IF('Final financial statement'!F39=0,"",'Final financial statement'!F39)</f>
        <v/>
      </c>
      <c r="G38" s="92">
        <f>'Final financial statement'!G39</f>
        <v>0</v>
      </c>
      <c r="H38" s="92">
        <f>'Final financial statement'!H39</f>
        <v>0</v>
      </c>
      <c r="I38" s="92">
        <f>'Final financial statement'!I39</f>
        <v>0</v>
      </c>
      <c r="J38" s="92">
        <f>'Final financial statement'!J39</f>
        <v>0</v>
      </c>
      <c r="K38" s="92">
        <f>'Final financial statement'!K39</f>
        <v>0</v>
      </c>
      <c r="L38" s="92">
        <f>'Final financial statement'!L39</f>
        <v>0</v>
      </c>
      <c r="M38" s="148">
        <f>'Final financial statement'!M39</f>
        <v>0</v>
      </c>
    </row>
    <row r="39" spans="2:13" s="58" customFormat="1" x14ac:dyDescent="0.4">
      <c r="B39" s="204" t="s">
        <v>22</v>
      </c>
      <c r="C39" s="109" t="str">
        <f>IF('Final financial statement'!C40=0,"",'Final financial statement'!C40)</f>
        <v/>
      </c>
      <c r="D39" s="109" t="str">
        <f>IF('Final financial statement'!D40=0,"",'Final financial statement'!D40)</f>
        <v/>
      </c>
      <c r="E39" s="174" t="str">
        <f>IF('Final financial statement'!E40=0,"",'Final financial statement'!E40)</f>
        <v/>
      </c>
      <c r="F39" s="174" t="str">
        <f>IF('Final financial statement'!F40=0,"",'Final financial statement'!F40)</f>
        <v/>
      </c>
      <c r="G39" s="92">
        <f>'Final financial statement'!G40</f>
        <v>0</v>
      </c>
      <c r="H39" s="92">
        <f>'Final financial statement'!H40</f>
        <v>0</v>
      </c>
      <c r="I39" s="92">
        <f>'Final financial statement'!I40</f>
        <v>0</v>
      </c>
      <c r="J39" s="92">
        <f>'Final financial statement'!J40</f>
        <v>0</v>
      </c>
      <c r="K39" s="92">
        <f>'Final financial statement'!K40</f>
        <v>0</v>
      </c>
      <c r="L39" s="92">
        <f>'Final financial statement'!L40</f>
        <v>0</v>
      </c>
      <c r="M39" s="148">
        <f>'Final financial statement'!M40</f>
        <v>0</v>
      </c>
    </row>
    <row r="40" spans="2:13" s="58" customFormat="1" x14ac:dyDescent="0.4">
      <c r="B40" s="204" t="s">
        <v>23</v>
      </c>
      <c r="C40" s="109" t="str">
        <f>IF('Final financial statement'!C41=0,"",'Final financial statement'!C41)</f>
        <v/>
      </c>
      <c r="D40" s="109" t="str">
        <f>IF('Final financial statement'!D41=0,"",'Final financial statement'!D41)</f>
        <v/>
      </c>
      <c r="E40" s="174" t="str">
        <f>IF('Final financial statement'!E41=0,"",'Final financial statement'!E41)</f>
        <v/>
      </c>
      <c r="F40" s="174" t="str">
        <f>IF('Final financial statement'!F41=0,"",'Final financial statement'!F41)</f>
        <v/>
      </c>
      <c r="G40" s="92">
        <f>'Final financial statement'!G41</f>
        <v>0</v>
      </c>
      <c r="H40" s="92">
        <f>'Final financial statement'!H41</f>
        <v>0</v>
      </c>
      <c r="I40" s="92">
        <f>'Final financial statement'!I41</f>
        <v>0</v>
      </c>
      <c r="J40" s="92">
        <f>'Final financial statement'!J41</f>
        <v>0</v>
      </c>
      <c r="K40" s="92">
        <f>'Final financial statement'!K41</f>
        <v>0</v>
      </c>
      <c r="L40" s="92">
        <f>'Final financial statement'!L41</f>
        <v>0</v>
      </c>
      <c r="M40" s="148">
        <f>'Final financial statement'!M41</f>
        <v>0</v>
      </c>
    </row>
    <row r="41" spans="2:13" s="58" customFormat="1" x14ac:dyDescent="0.4">
      <c r="B41" s="204" t="s">
        <v>24</v>
      </c>
      <c r="C41" s="109" t="str">
        <f>IF('Final financial statement'!C42=0,"",'Final financial statement'!C42)</f>
        <v/>
      </c>
      <c r="D41" s="109" t="str">
        <f>IF('Final financial statement'!D42=0,"",'Final financial statement'!D42)</f>
        <v/>
      </c>
      <c r="E41" s="174" t="str">
        <f>IF('Final financial statement'!E42=0,"",'Final financial statement'!E42)</f>
        <v/>
      </c>
      <c r="F41" s="174" t="str">
        <f>IF('Final financial statement'!F42=0,"",'Final financial statement'!F42)</f>
        <v/>
      </c>
      <c r="G41" s="92">
        <f>'Final financial statement'!G42</f>
        <v>0</v>
      </c>
      <c r="H41" s="92">
        <f>'Final financial statement'!H42</f>
        <v>0</v>
      </c>
      <c r="I41" s="92">
        <f>'Final financial statement'!I42</f>
        <v>0</v>
      </c>
      <c r="J41" s="92">
        <f>'Final financial statement'!J42</f>
        <v>0</v>
      </c>
      <c r="K41" s="92">
        <f>'Final financial statement'!K42</f>
        <v>0</v>
      </c>
      <c r="L41" s="92">
        <f>'Final financial statement'!L42</f>
        <v>0</v>
      </c>
      <c r="M41" s="148">
        <f>'Final financial statement'!M42</f>
        <v>0</v>
      </c>
    </row>
    <row r="42" spans="2:13" s="58" customFormat="1" x14ac:dyDescent="0.4">
      <c r="B42" s="204" t="s">
        <v>106</v>
      </c>
      <c r="C42" s="109" t="str">
        <f>IF('Final financial statement'!C43=0,"",'Final financial statement'!C43)</f>
        <v/>
      </c>
      <c r="D42" s="109" t="str">
        <f>IF('Final financial statement'!D43=0,"",'Final financial statement'!D43)</f>
        <v/>
      </c>
      <c r="E42" s="174" t="str">
        <f>IF('Final financial statement'!E43=0,"",'Final financial statement'!E43)</f>
        <v/>
      </c>
      <c r="F42" s="174" t="str">
        <f>IF('Final financial statement'!F43=0,"",'Final financial statement'!F43)</f>
        <v/>
      </c>
      <c r="G42" s="92">
        <f>'Final financial statement'!G43</f>
        <v>0</v>
      </c>
      <c r="H42" s="92">
        <f>'Final financial statement'!H43</f>
        <v>0</v>
      </c>
      <c r="I42" s="92">
        <f>'Final financial statement'!I43</f>
        <v>0</v>
      </c>
      <c r="J42" s="92">
        <f>'Final financial statement'!J43</f>
        <v>0</v>
      </c>
      <c r="K42" s="92">
        <f>'Final financial statement'!K43</f>
        <v>0</v>
      </c>
      <c r="L42" s="92">
        <f>'Final financial statement'!L43</f>
        <v>0</v>
      </c>
      <c r="M42" s="148">
        <f>'Final financial statement'!M43</f>
        <v>0</v>
      </c>
    </row>
    <row r="43" spans="2:13" s="58" customFormat="1" x14ac:dyDescent="0.4">
      <c r="B43" s="204" t="s">
        <v>107</v>
      </c>
      <c r="C43" s="109" t="str">
        <f>IF('Final financial statement'!C44=0,"",'Final financial statement'!C44)</f>
        <v/>
      </c>
      <c r="D43" s="109" t="str">
        <f>IF('Final financial statement'!D44=0,"",'Final financial statement'!D44)</f>
        <v/>
      </c>
      <c r="E43" s="174" t="str">
        <f>IF('Final financial statement'!E44=0,"",'Final financial statement'!E44)</f>
        <v/>
      </c>
      <c r="F43" s="174" t="str">
        <f>IF('Final financial statement'!F44=0,"",'Final financial statement'!F44)</f>
        <v/>
      </c>
      <c r="G43" s="92">
        <f>'Final financial statement'!G44</f>
        <v>0</v>
      </c>
      <c r="H43" s="92">
        <f>'Final financial statement'!H44</f>
        <v>0</v>
      </c>
      <c r="I43" s="92">
        <f>'Final financial statement'!I44</f>
        <v>0</v>
      </c>
      <c r="J43" s="92">
        <f>'Final financial statement'!J44</f>
        <v>0</v>
      </c>
      <c r="K43" s="92">
        <f>'Final financial statement'!K44</f>
        <v>0</v>
      </c>
      <c r="L43" s="92">
        <f>'Final financial statement'!L44</f>
        <v>0</v>
      </c>
      <c r="M43" s="148">
        <f>'Final financial statement'!M44</f>
        <v>0</v>
      </c>
    </row>
    <row r="44" spans="2:13" s="58" customFormat="1" x14ac:dyDescent="0.4">
      <c r="B44" s="204" t="s">
        <v>108</v>
      </c>
      <c r="C44" s="109" t="str">
        <f>IF('Final financial statement'!C45=0,"",'Final financial statement'!C45)</f>
        <v/>
      </c>
      <c r="D44" s="109" t="str">
        <f>IF('Final financial statement'!D45=0,"",'Final financial statement'!D45)</f>
        <v/>
      </c>
      <c r="E44" s="174" t="str">
        <f>IF('Final financial statement'!E45=0,"",'Final financial statement'!E45)</f>
        <v/>
      </c>
      <c r="F44" s="174" t="str">
        <f>IF('Final financial statement'!F45=0,"",'Final financial statement'!F45)</f>
        <v/>
      </c>
      <c r="G44" s="92">
        <f>'Final financial statement'!G45</f>
        <v>0</v>
      </c>
      <c r="H44" s="92">
        <f>'Final financial statement'!H45</f>
        <v>0</v>
      </c>
      <c r="I44" s="92">
        <f>'Final financial statement'!I45</f>
        <v>0</v>
      </c>
      <c r="J44" s="92">
        <f>'Final financial statement'!J45</f>
        <v>0</v>
      </c>
      <c r="K44" s="92">
        <f>'Final financial statement'!K45</f>
        <v>0</v>
      </c>
      <c r="L44" s="92">
        <f>'Final financial statement'!L45</f>
        <v>0</v>
      </c>
      <c r="M44" s="148">
        <f>'Final financial statement'!M45</f>
        <v>0</v>
      </c>
    </row>
    <row r="45" spans="2:13" s="58" customFormat="1" x14ac:dyDescent="0.4">
      <c r="B45" s="204" t="s">
        <v>109</v>
      </c>
      <c r="C45" s="109" t="str">
        <f>IF('Final financial statement'!C46=0,"",'Final financial statement'!C46)</f>
        <v/>
      </c>
      <c r="D45" s="109" t="str">
        <f>IF('Final financial statement'!D46=0,"",'Final financial statement'!D46)</f>
        <v/>
      </c>
      <c r="E45" s="174" t="str">
        <f>IF('Final financial statement'!E46=0,"",'Final financial statement'!E46)</f>
        <v/>
      </c>
      <c r="F45" s="174" t="str">
        <f>IF('Final financial statement'!F46=0,"",'Final financial statement'!F46)</f>
        <v/>
      </c>
      <c r="G45" s="92">
        <f>'Final financial statement'!G46</f>
        <v>0</v>
      </c>
      <c r="H45" s="92">
        <f>'Final financial statement'!H46</f>
        <v>0</v>
      </c>
      <c r="I45" s="92">
        <f>'Final financial statement'!I46</f>
        <v>0</v>
      </c>
      <c r="J45" s="92">
        <f>'Final financial statement'!J46</f>
        <v>0</v>
      </c>
      <c r="K45" s="92">
        <f>'Final financial statement'!K46</f>
        <v>0</v>
      </c>
      <c r="L45" s="92">
        <f>'Final financial statement'!L46</f>
        <v>0</v>
      </c>
      <c r="M45" s="148">
        <f>'Final financial statement'!M46</f>
        <v>0</v>
      </c>
    </row>
    <row r="46" spans="2:13" s="58" customFormat="1" x14ac:dyDescent="0.4">
      <c r="B46" s="204" t="s">
        <v>110</v>
      </c>
      <c r="C46" s="109" t="str">
        <f>IF('Final financial statement'!C47=0,"",'Final financial statement'!C47)</f>
        <v/>
      </c>
      <c r="D46" s="109" t="str">
        <f>IF('Final financial statement'!D47=0,"",'Final financial statement'!D47)</f>
        <v/>
      </c>
      <c r="E46" s="174" t="str">
        <f>IF('Final financial statement'!E47=0,"",'Final financial statement'!E47)</f>
        <v/>
      </c>
      <c r="F46" s="174" t="str">
        <f>IF('Final financial statement'!F47=0,"",'Final financial statement'!F47)</f>
        <v/>
      </c>
      <c r="G46" s="92">
        <f>'Final financial statement'!G47</f>
        <v>0</v>
      </c>
      <c r="H46" s="92">
        <f>'Final financial statement'!H47</f>
        <v>0</v>
      </c>
      <c r="I46" s="92">
        <f>'Final financial statement'!I47</f>
        <v>0</v>
      </c>
      <c r="J46" s="92">
        <f>'Final financial statement'!J47</f>
        <v>0</v>
      </c>
      <c r="K46" s="92">
        <f>'Final financial statement'!K47</f>
        <v>0</v>
      </c>
      <c r="L46" s="92">
        <f>'Final financial statement'!L47</f>
        <v>0</v>
      </c>
      <c r="M46" s="148">
        <f>'Final financial statement'!M47</f>
        <v>0</v>
      </c>
    </row>
    <row r="47" spans="2:13" s="58" customFormat="1" x14ac:dyDescent="0.4">
      <c r="B47" s="204" t="s">
        <v>111</v>
      </c>
      <c r="C47" s="109" t="str">
        <f>IF('Final financial statement'!C48=0,"",'Final financial statement'!C48)</f>
        <v/>
      </c>
      <c r="D47" s="109" t="str">
        <f>IF('Final financial statement'!D48=0,"",'Final financial statement'!D48)</f>
        <v/>
      </c>
      <c r="E47" s="174" t="str">
        <f>IF('Final financial statement'!E48=0,"",'Final financial statement'!E48)</f>
        <v/>
      </c>
      <c r="F47" s="174" t="str">
        <f>IF('Final financial statement'!F48=0,"",'Final financial statement'!F48)</f>
        <v/>
      </c>
      <c r="G47" s="92">
        <f>'Final financial statement'!G48</f>
        <v>0</v>
      </c>
      <c r="H47" s="92">
        <f>'Final financial statement'!H48</f>
        <v>0</v>
      </c>
      <c r="I47" s="92">
        <f>'Final financial statement'!I48</f>
        <v>0</v>
      </c>
      <c r="J47" s="92">
        <f>'Final financial statement'!J48</f>
        <v>0</v>
      </c>
      <c r="K47" s="92">
        <f>'Final financial statement'!K48</f>
        <v>0</v>
      </c>
      <c r="L47" s="92">
        <f>'Final financial statement'!L48</f>
        <v>0</v>
      </c>
      <c r="M47" s="148">
        <f>'Final financial statement'!M48</f>
        <v>0</v>
      </c>
    </row>
    <row r="48" spans="2:13" s="58" customFormat="1" x14ac:dyDescent="0.4">
      <c r="B48" s="204" t="s">
        <v>112</v>
      </c>
      <c r="C48" s="109" t="str">
        <f>IF('Final financial statement'!C49=0,"",'Final financial statement'!C49)</f>
        <v/>
      </c>
      <c r="D48" s="109" t="str">
        <f>IF('Final financial statement'!D49=0,"",'Final financial statement'!D49)</f>
        <v/>
      </c>
      <c r="E48" s="174" t="str">
        <f>IF('Final financial statement'!E49=0,"",'Final financial statement'!E49)</f>
        <v/>
      </c>
      <c r="F48" s="174" t="str">
        <f>IF('Final financial statement'!F49=0,"",'Final financial statement'!F49)</f>
        <v/>
      </c>
      <c r="G48" s="92">
        <f>'Final financial statement'!G49</f>
        <v>0</v>
      </c>
      <c r="H48" s="92">
        <f>'Final financial statement'!H49</f>
        <v>0</v>
      </c>
      <c r="I48" s="92">
        <f>'Final financial statement'!I49</f>
        <v>0</v>
      </c>
      <c r="J48" s="92">
        <f>'Final financial statement'!J49</f>
        <v>0</v>
      </c>
      <c r="K48" s="92">
        <f>'Final financial statement'!K49</f>
        <v>0</v>
      </c>
      <c r="L48" s="92">
        <f>'Final financial statement'!L49</f>
        <v>0</v>
      </c>
      <c r="M48" s="148">
        <f>'Final financial statement'!M49</f>
        <v>0</v>
      </c>
    </row>
    <row r="49" spans="2:13" s="58" customFormat="1" x14ac:dyDescent="0.4">
      <c r="B49" s="204" t="s">
        <v>113</v>
      </c>
      <c r="C49" s="109" t="str">
        <f>IF('Final financial statement'!C50=0,"",'Final financial statement'!C50)</f>
        <v/>
      </c>
      <c r="D49" s="109" t="str">
        <f>IF('Final financial statement'!D50=0,"",'Final financial statement'!D50)</f>
        <v/>
      </c>
      <c r="E49" s="174" t="str">
        <f>IF('Final financial statement'!E50=0,"",'Final financial statement'!E50)</f>
        <v/>
      </c>
      <c r="F49" s="174" t="str">
        <f>IF('Final financial statement'!F50=0,"",'Final financial statement'!F50)</f>
        <v/>
      </c>
      <c r="G49" s="92">
        <f>'Final financial statement'!G50</f>
        <v>0</v>
      </c>
      <c r="H49" s="92">
        <f>'Final financial statement'!H50</f>
        <v>0</v>
      </c>
      <c r="I49" s="92">
        <f>'Final financial statement'!I50</f>
        <v>0</v>
      </c>
      <c r="J49" s="92">
        <f>'Final financial statement'!J50</f>
        <v>0</v>
      </c>
      <c r="K49" s="92">
        <f>'Final financial statement'!K50</f>
        <v>0</v>
      </c>
      <c r="L49" s="92">
        <f>'Final financial statement'!L50</f>
        <v>0</v>
      </c>
      <c r="M49" s="148">
        <f>'Final financial statement'!M50</f>
        <v>0</v>
      </c>
    </row>
    <row r="50" spans="2:13" s="58" customFormat="1" x14ac:dyDescent="0.4">
      <c r="B50" s="204" t="s">
        <v>114</v>
      </c>
      <c r="C50" s="109" t="str">
        <f>IF('Final financial statement'!C51=0,"",'Final financial statement'!C51)</f>
        <v/>
      </c>
      <c r="D50" s="109" t="str">
        <f>IF('Final financial statement'!D51=0,"",'Final financial statement'!D51)</f>
        <v/>
      </c>
      <c r="E50" s="174" t="str">
        <f>IF('Final financial statement'!E51=0,"",'Final financial statement'!E51)</f>
        <v/>
      </c>
      <c r="F50" s="174" t="str">
        <f>IF('Final financial statement'!F51=0,"",'Final financial statement'!F51)</f>
        <v/>
      </c>
      <c r="G50" s="92">
        <f>'Final financial statement'!G51</f>
        <v>0</v>
      </c>
      <c r="H50" s="92">
        <f>'Final financial statement'!H51</f>
        <v>0</v>
      </c>
      <c r="I50" s="92">
        <f>'Final financial statement'!I51</f>
        <v>0</v>
      </c>
      <c r="J50" s="92">
        <f>'Final financial statement'!J51</f>
        <v>0</v>
      </c>
      <c r="K50" s="92">
        <f>'Final financial statement'!K51</f>
        <v>0</v>
      </c>
      <c r="L50" s="92">
        <f>'Final financial statement'!L51</f>
        <v>0</v>
      </c>
      <c r="M50" s="148">
        <f>'Final financial statement'!M51</f>
        <v>0</v>
      </c>
    </row>
    <row r="51" spans="2:13" s="58" customFormat="1" x14ac:dyDescent="0.4">
      <c r="B51" s="204" t="s">
        <v>115</v>
      </c>
      <c r="C51" s="109" t="str">
        <f>IF('Final financial statement'!C52=0,"",'Final financial statement'!C52)</f>
        <v/>
      </c>
      <c r="D51" s="109" t="str">
        <f>IF('Final financial statement'!D52=0,"",'Final financial statement'!D52)</f>
        <v/>
      </c>
      <c r="E51" s="174" t="str">
        <f>IF('Final financial statement'!E52=0,"",'Final financial statement'!E52)</f>
        <v/>
      </c>
      <c r="F51" s="174" t="str">
        <f>IF('Final financial statement'!F52=0,"",'Final financial statement'!F52)</f>
        <v/>
      </c>
      <c r="G51" s="92">
        <f>'Final financial statement'!G52</f>
        <v>0</v>
      </c>
      <c r="H51" s="92">
        <f>'Final financial statement'!H52</f>
        <v>0</v>
      </c>
      <c r="I51" s="92">
        <f>'Final financial statement'!I52</f>
        <v>0</v>
      </c>
      <c r="J51" s="92">
        <f>'Final financial statement'!J52</f>
        <v>0</v>
      </c>
      <c r="K51" s="92">
        <f>'Final financial statement'!K52</f>
        <v>0</v>
      </c>
      <c r="L51" s="92">
        <f>'Final financial statement'!L52</f>
        <v>0</v>
      </c>
      <c r="M51" s="148">
        <f>'Final financial statement'!M52</f>
        <v>0</v>
      </c>
    </row>
    <row r="52" spans="2:13" s="58" customFormat="1" x14ac:dyDescent="0.4">
      <c r="B52" s="204" t="s">
        <v>116</v>
      </c>
      <c r="C52" s="109" t="str">
        <f>IF('Final financial statement'!C53=0,"",'Final financial statement'!C53)</f>
        <v/>
      </c>
      <c r="D52" s="109" t="str">
        <f>IF('Final financial statement'!D53=0,"",'Final financial statement'!D53)</f>
        <v/>
      </c>
      <c r="E52" s="174" t="str">
        <f>IF('Final financial statement'!E53=0,"",'Final financial statement'!E53)</f>
        <v/>
      </c>
      <c r="F52" s="174" t="str">
        <f>IF('Final financial statement'!F53=0,"",'Final financial statement'!F53)</f>
        <v/>
      </c>
      <c r="G52" s="92">
        <f>'Final financial statement'!G53</f>
        <v>0</v>
      </c>
      <c r="H52" s="92">
        <f>'Final financial statement'!H53</f>
        <v>0</v>
      </c>
      <c r="I52" s="92">
        <f>'Final financial statement'!I53</f>
        <v>0</v>
      </c>
      <c r="J52" s="92">
        <f>'Final financial statement'!J53</f>
        <v>0</v>
      </c>
      <c r="K52" s="92">
        <f>'Final financial statement'!K53</f>
        <v>0</v>
      </c>
      <c r="L52" s="92">
        <f>'Final financial statement'!L53</f>
        <v>0</v>
      </c>
      <c r="M52" s="148">
        <f>'Final financial statement'!M53</f>
        <v>0</v>
      </c>
    </row>
    <row r="53" spans="2:13" s="58" customFormat="1" x14ac:dyDescent="0.4">
      <c r="B53" s="204" t="s">
        <v>117</v>
      </c>
      <c r="C53" s="109" t="str">
        <f>IF('Final financial statement'!C54=0,"",'Final financial statement'!C54)</f>
        <v/>
      </c>
      <c r="D53" s="109" t="str">
        <f>IF('Final financial statement'!D54=0,"",'Final financial statement'!D54)</f>
        <v/>
      </c>
      <c r="E53" s="174" t="str">
        <f>IF('Final financial statement'!E54=0,"",'Final financial statement'!E54)</f>
        <v/>
      </c>
      <c r="F53" s="174" t="str">
        <f>IF('Final financial statement'!F54=0,"",'Final financial statement'!F54)</f>
        <v/>
      </c>
      <c r="G53" s="92">
        <f>'Final financial statement'!G54</f>
        <v>0</v>
      </c>
      <c r="H53" s="92">
        <f>'Final financial statement'!H54</f>
        <v>0</v>
      </c>
      <c r="I53" s="92">
        <f>'Final financial statement'!I54</f>
        <v>0</v>
      </c>
      <c r="J53" s="92">
        <f>'Final financial statement'!J54</f>
        <v>0</v>
      </c>
      <c r="K53" s="92">
        <f>'Final financial statement'!K54</f>
        <v>0</v>
      </c>
      <c r="L53" s="92">
        <f>'Final financial statement'!L54</f>
        <v>0</v>
      </c>
      <c r="M53" s="148">
        <f>'Final financial statement'!M54</f>
        <v>0</v>
      </c>
    </row>
    <row r="54" spans="2:13" s="58" customFormat="1" x14ac:dyDescent="0.4">
      <c r="B54" s="204" t="s">
        <v>118</v>
      </c>
      <c r="C54" s="109" t="str">
        <f>IF('Final financial statement'!C55=0,"",'Final financial statement'!C55)</f>
        <v/>
      </c>
      <c r="D54" s="109" t="str">
        <f>IF('Final financial statement'!D55=0,"",'Final financial statement'!D55)</f>
        <v/>
      </c>
      <c r="E54" s="174" t="str">
        <f>IF('Final financial statement'!E55=0,"",'Final financial statement'!E55)</f>
        <v/>
      </c>
      <c r="F54" s="174" t="str">
        <f>IF('Final financial statement'!F55=0,"",'Final financial statement'!F55)</f>
        <v/>
      </c>
      <c r="G54" s="92">
        <f>'Final financial statement'!G55</f>
        <v>0</v>
      </c>
      <c r="H54" s="92">
        <f>'Final financial statement'!H55</f>
        <v>0</v>
      </c>
      <c r="I54" s="92">
        <f>'Final financial statement'!I55</f>
        <v>0</v>
      </c>
      <c r="J54" s="92">
        <f>'Final financial statement'!J55</f>
        <v>0</v>
      </c>
      <c r="K54" s="92">
        <f>'Final financial statement'!K55</f>
        <v>0</v>
      </c>
      <c r="L54" s="92">
        <f>'Final financial statement'!L55</f>
        <v>0</v>
      </c>
      <c r="M54" s="148">
        <f>'Final financial statement'!M55</f>
        <v>0</v>
      </c>
    </row>
    <row r="55" spans="2:13" s="58" customFormat="1" x14ac:dyDescent="0.4">
      <c r="B55" s="204" t="s">
        <v>119</v>
      </c>
      <c r="C55" s="109" t="str">
        <f>IF('Final financial statement'!C56=0,"",'Final financial statement'!C56)</f>
        <v/>
      </c>
      <c r="D55" s="109" t="str">
        <f>IF('Final financial statement'!D56=0,"",'Final financial statement'!D56)</f>
        <v/>
      </c>
      <c r="E55" s="174" t="str">
        <f>IF('Final financial statement'!E56=0,"",'Final financial statement'!E56)</f>
        <v/>
      </c>
      <c r="F55" s="174" t="str">
        <f>IF('Final financial statement'!F56=0,"",'Final financial statement'!F56)</f>
        <v/>
      </c>
      <c r="G55" s="92">
        <f>'Final financial statement'!G56</f>
        <v>0</v>
      </c>
      <c r="H55" s="92">
        <f>'Final financial statement'!H56</f>
        <v>0</v>
      </c>
      <c r="I55" s="92">
        <f>'Final financial statement'!I56</f>
        <v>0</v>
      </c>
      <c r="J55" s="92">
        <f>'Final financial statement'!J56</f>
        <v>0</v>
      </c>
      <c r="K55" s="92">
        <f>'Final financial statement'!K56</f>
        <v>0</v>
      </c>
      <c r="L55" s="92">
        <f>'Final financial statement'!L56</f>
        <v>0</v>
      </c>
      <c r="M55" s="148">
        <f>'Final financial statement'!M56</f>
        <v>0</v>
      </c>
    </row>
    <row r="56" spans="2:13" s="58" customFormat="1" x14ac:dyDescent="0.4">
      <c r="B56" s="204" t="s">
        <v>120</v>
      </c>
      <c r="C56" s="109" t="str">
        <f>IF('Final financial statement'!C57=0,"",'Final financial statement'!C57)</f>
        <v/>
      </c>
      <c r="D56" s="109" t="str">
        <f>IF('Final financial statement'!D57=0,"",'Final financial statement'!D57)</f>
        <v/>
      </c>
      <c r="E56" s="174" t="str">
        <f>IF('Final financial statement'!E57=0,"",'Final financial statement'!E57)</f>
        <v/>
      </c>
      <c r="F56" s="174" t="str">
        <f>IF('Final financial statement'!F57=0,"",'Final financial statement'!F57)</f>
        <v/>
      </c>
      <c r="G56" s="92">
        <f>'Final financial statement'!G57</f>
        <v>0</v>
      </c>
      <c r="H56" s="92">
        <f>'Final financial statement'!H57</f>
        <v>0</v>
      </c>
      <c r="I56" s="92">
        <f>'Final financial statement'!I57</f>
        <v>0</v>
      </c>
      <c r="J56" s="92">
        <f>'Final financial statement'!J57</f>
        <v>0</v>
      </c>
      <c r="K56" s="92">
        <f>'Final financial statement'!K57</f>
        <v>0</v>
      </c>
      <c r="L56" s="92">
        <f>'Final financial statement'!L57</f>
        <v>0</v>
      </c>
      <c r="M56" s="148">
        <f>'Final financial statement'!M57</f>
        <v>0</v>
      </c>
    </row>
    <row r="57" spans="2:13" s="58" customFormat="1" x14ac:dyDescent="0.4">
      <c r="B57" s="204" t="s">
        <v>121</v>
      </c>
      <c r="C57" s="109" t="str">
        <f>IF('Final financial statement'!C58=0,"",'Final financial statement'!C58)</f>
        <v/>
      </c>
      <c r="D57" s="109" t="str">
        <f>IF('Final financial statement'!D58=0,"",'Final financial statement'!D58)</f>
        <v/>
      </c>
      <c r="E57" s="174" t="str">
        <f>IF('Final financial statement'!E58=0,"",'Final financial statement'!E58)</f>
        <v/>
      </c>
      <c r="F57" s="174" t="str">
        <f>IF('Final financial statement'!F58=0,"",'Final financial statement'!F58)</f>
        <v/>
      </c>
      <c r="G57" s="92">
        <f>'Final financial statement'!G58</f>
        <v>0</v>
      </c>
      <c r="H57" s="92">
        <f>'Final financial statement'!H58</f>
        <v>0</v>
      </c>
      <c r="I57" s="92">
        <f>'Final financial statement'!I58</f>
        <v>0</v>
      </c>
      <c r="J57" s="92">
        <f>'Final financial statement'!J58</f>
        <v>0</v>
      </c>
      <c r="K57" s="92">
        <f>'Final financial statement'!K58</f>
        <v>0</v>
      </c>
      <c r="L57" s="92">
        <f>'Final financial statement'!L58</f>
        <v>0</v>
      </c>
      <c r="M57" s="148">
        <f>'Final financial statement'!M58</f>
        <v>0</v>
      </c>
    </row>
    <row r="58" spans="2:13" s="58" customFormat="1" x14ac:dyDescent="0.4">
      <c r="B58" s="204" t="s">
        <v>122</v>
      </c>
      <c r="C58" s="109" t="str">
        <f>IF('Final financial statement'!C59=0,"",'Final financial statement'!C59)</f>
        <v/>
      </c>
      <c r="D58" s="109" t="str">
        <f>IF('Final financial statement'!D59=0,"",'Final financial statement'!D59)</f>
        <v/>
      </c>
      <c r="E58" s="174" t="str">
        <f>IF('Final financial statement'!E59=0,"",'Final financial statement'!E59)</f>
        <v/>
      </c>
      <c r="F58" s="174" t="str">
        <f>IF('Final financial statement'!F59=0,"",'Final financial statement'!F59)</f>
        <v/>
      </c>
      <c r="G58" s="92">
        <f>'Final financial statement'!G59</f>
        <v>0</v>
      </c>
      <c r="H58" s="92">
        <f>'Final financial statement'!H59</f>
        <v>0</v>
      </c>
      <c r="I58" s="92">
        <f>'Final financial statement'!I59</f>
        <v>0</v>
      </c>
      <c r="J58" s="92">
        <f>'Final financial statement'!J59</f>
        <v>0</v>
      </c>
      <c r="K58" s="92">
        <f>'Final financial statement'!K59</f>
        <v>0</v>
      </c>
      <c r="L58" s="92">
        <f>'Final financial statement'!L59</f>
        <v>0</v>
      </c>
      <c r="M58" s="148">
        <f>'Final financial statement'!M59</f>
        <v>0</v>
      </c>
    </row>
    <row r="59" spans="2:13" s="58" customFormat="1" x14ac:dyDescent="0.4">
      <c r="B59" s="204" t="s">
        <v>123</v>
      </c>
      <c r="C59" s="109" t="str">
        <f>IF('Final financial statement'!C60=0,"",'Final financial statement'!C60)</f>
        <v/>
      </c>
      <c r="D59" s="109" t="str">
        <f>IF('Final financial statement'!D60=0,"",'Final financial statement'!D60)</f>
        <v/>
      </c>
      <c r="E59" s="174" t="str">
        <f>IF('Final financial statement'!E60=0,"",'Final financial statement'!E60)</f>
        <v/>
      </c>
      <c r="F59" s="174" t="str">
        <f>IF('Final financial statement'!F60=0,"",'Final financial statement'!F60)</f>
        <v/>
      </c>
      <c r="G59" s="92">
        <f>'Final financial statement'!G60</f>
        <v>0</v>
      </c>
      <c r="H59" s="92">
        <f>'Final financial statement'!H60</f>
        <v>0</v>
      </c>
      <c r="I59" s="92">
        <f>'Final financial statement'!I60</f>
        <v>0</v>
      </c>
      <c r="J59" s="92">
        <f>'Final financial statement'!J60</f>
        <v>0</v>
      </c>
      <c r="K59" s="92">
        <f>'Final financial statement'!K60</f>
        <v>0</v>
      </c>
      <c r="L59" s="92">
        <f>'Final financial statement'!L60</f>
        <v>0</v>
      </c>
      <c r="M59" s="148">
        <f>'Final financial statement'!M60</f>
        <v>0</v>
      </c>
    </row>
    <row r="60" spans="2:13" s="58" customFormat="1" x14ac:dyDescent="0.4">
      <c r="B60" s="204" t="s">
        <v>124</v>
      </c>
      <c r="C60" s="109" t="str">
        <f>IF('Final financial statement'!C61=0,"",'Final financial statement'!C61)</f>
        <v/>
      </c>
      <c r="D60" s="109" t="str">
        <f>IF('Final financial statement'!D61=0,"",'Final financial statement'!D61)</f>
        <v/>
      </c>
      <c r="E60" s="174" t="str">
        <f>IF('Final financial statement'!E61=0,"",'Final financial statement'!E61)</f>
        <v/>
      </c>
      <c r="F60" s="174" t="str">
        <f>IF('Final financial statement'!F61=0,"",'Final financial statement'!F61)</f>
        <v/>
      </c>
      <c r="G60" s="92">
        <f>'Final financial statement'!G61</f>
        <v>0</v>
      </c>
      <c r="H60" s="92">
        <f>'Final financial statement'!H61</f>
        <v>0</v>
      </c>
      <c r="I60" s="92">
        <f>'Final financial statement'!I61</f>
        <v>0</v>
      </c>
      <c r="J60" s="92">
        <f>'Final financial statement'!J61</f>
        <v>0</v>
      </c>
      <c r="K60" s="92">
        <f>'Final financial statement'!K61</f>
        <v>0</v>
      </c>
      <c r="L60" s="92">
        <f>'Final financial statement'!L61</f>
        <v>0</v>
      </c>
      <c r="M60" s="148">
        <f>'Final financial statement'!M61</f>
        <v>0</v>
      </c>
    </row>
    <row r="61" spans="2:13" s="58" customFormat="1" x14ac:dyDescent="0.4">
      <c r="B61" s="204" t="s">
        <v>125</v>
      </c>
      <c r="C61" s="109" t="str">
        <f>IF('Final financial statement'!C62=0,"",'Final financial statement'!C62)</f>
        <v/>
      </c>
      <c r="D61" s="109" t="str">
        <f>IF('Final financial statement'!D62=0,"",'Final financial statement'!D62)</f>
        <v/>
      </c>
      <c r="E61" s="174" t="str">
        <f>IF('Final financial statement'!E62=0,"",'Final financial statement'!E62)</f>
        <v/>
      </c>
      <c r="F61" s="174" t="str">
        <f>IF('Final financial statement'!F62=0,"",'Final financial statement'!F62)</f>
        <v/>
      </c>
      <c r="G61" s="92">
        <f>'Final financial statement'!G62</f>
        <v>0</v>
      </c>
      <c r="H61" s="92">
        <f>'Final financial statement'!H62</f>
        <v>0</v>
      </c>
      <c r="I61" s="92">
        <f>'Final financial statement'!I62</f>
        <v>0</v>
      </c>
      <c r="J61" s="92">
        <f>'Final financial statement'!J62</f>
        <v>0</v>
      </c>
      <c r="K61" s="92">
        <f>'Final financial statement'!K62</f>
        <v>0</v>
      </c>
      <c r="L61" s="92">
        <f>'Final financial statement'!L62</f>
        <v>0</v>
      </c>
      <c r="M61" s="148">
        <f>'Final financial statement'!M62</f>
        <v>0</v>
      </c>
    </row>
    <row r="62" spans="2:13" s="58" customFormat="1" x14ac:dyDescent="0.4">
      <c r="B62" s="204" t="s">
        <v>132</v>
      </c>
      <c r="C62" s="109" t="str">
        <f>IF('Final financial statement'!C63=0,"",'Final financial statement'!C63)</f>
        <v/>
      </c>
      <c r="D62" s="109" t="str">
        <f>IF('Final financial statement'!D63=0,"",'Final financial statement'!D63)</f>
        <v/>
      </c>
      <c r="E62" s="174" t="str">
        <f>IF('Final financial statement'!E63=0,"",'Final financial statement'!E63)</f>
        <v/>
      </c>
      <c r="F62" s="174" t="str">
        <f>IF('Final financial statement'!F63=0,"",'Final financial statement'!F63)</f>
        <v/>
      </c>
      <c r="G62" s="92">
        <f>'Final financial statement'!G63</f>
        <v>0</v>
      </c>
      <c r="H62" s="92">
        <f>'Final financial statement'!H63</f>
        <v>0</v>
      </c>
      <c r="I62" s="92">
        <f>'Final financial statement'!I63</f>
        <v>0</v>
      </c>
      <c r="J62" s="92">
        <f>'Final financial statement'!J63</f>
        <v>0</v>
      </c>
      <c r="K62" s="92">
        <f>'Final financial statement'!K63</f>
        <v>0</v>
      </c>
      <c r="L62" s="92">
        <f>'Final financial statement'!L63</f>
        <v>0</v>
      </c>
      <c r="M62" s="148">
        <f>'Final financial statement'!M63</f>
        <v>0</v>
      </c>
    </row>
    <row r="63" spans="2:13" s="58" customFormat="1" x14ac:dyDescent="0.4">
      <c r="B63" s="204" t="s">
        <v>133</v>
      </c>
      <c r="C63" s="109" t="str">
        <f>IF('Final financial statement'!C64=0,"",'Final financial statement'!C64)</f>
        <v/>
      </c>
      <c r="D63" s="109" t="str">
        <f>IF('Final financial statement'!D64=0,"",'Final financial statement'!D64)</f>
        <v/>
      </c>
      <c r="E63" s="174" t="str">
        <f>IF('Final financial statement'!E64=0,"",'Final financial statement'!E64)</f>
        <v/>
      </c>
      <c r="F63" s="174" t="str">
        <f>IF('Final financial statement'!F64=0,"",'Final financial statement'!F64)</f>
        <v/>
      </c>
      <c r="G63" s="92">
        <f>'Final financial statement'!G64</f>
        <v>0</v>
      </c>
      <c r="H63" s="92">
        <f>'Final financial statement'!H64</f>
        <v>0</v>
      </c>
      <c r="I63" s="92">
        <f>'Final financial statement'!I64</f>
        <v>0</v>
      </c>
      <c r="J63" s="92">
        <f>'Final financial statement'!J64</f>
        <v>0</v>
      </c>
      <c r="K63" s="92">
        <f>'Final financial statement'!K64</f>
        <v>0</v>
      </c>
      <c r="L63" s="92">
        <f>'Final financial statement'!L64</f>
        <v>0</v>
      </c>
      <c r="M63" s="148">
        <f>'Final financial statement'!M64</f>
        <v>0</v>
      </c>
    </row>
    <row r="64" spans="2:13" s="58" customFormat="1" x14ac:dyDescent="0.4">
      <c r="B64" s="204" t="s">
        <v>134</v>
      </c>
      <c r="C64" s="109" t="str">
        <f>IF('Final financial statement'!C65=0,"",'Final financial statement'!C65)</f>
        <v/>
      </c>
      <c r="D64" s="109" t="str">
        <f>IF('Final financial statement'!D65=0,"",'Final financial statement'!D65)</f>
        <v/>
      </c>
      <c r="E64" s="174" t="str">
        <f>IF('Final financial statement'!E65=0,"",'Final financial statement'!E65)</f>
        <v/>
      </c>
      <c r="F64" s="174" t="str">
        <f>IF('Final financial statement'!F65=0,"",'Final financial statement'!F65)</f>
        <v/>
      </c>
      <c r="G64" s="92">
        <f>'Final financial statement'!G65</f>
        <v>0</v>
      </c>
      <c r="H64" s="92">
        <f>'Final financial statement'!H65</f>
        <v>0</v>
      </c>
      <c r="I64" s="92">
        <f>'Final financial statement'!I65</f>
        <v>0</v>
      </c>
      <c r="J64" s="92">
        <f>'Final financial statement'!J65</f>
        <v>0</v>
      </c>
      <c r="K64" s="92">
        <f>'Final financial statement'!K65</f>
        <v>0</v>
      </c>
      <c r="L64" s="92">
        <f>'Final financial statement'!L65</f>
        <v>0</v>
      </c>
      <c r="M64" s="148">
        <f>'Final financial statement'!M65</f>
        <v>0</v>
      </c>
    </row>
    <row r="65" spans="2:13" s="58" customFormat="1" x14ac:dyDescent="0.4">
      <c r="B65" s="204" t="s">
        <v>135</v>
      </c>
      <c r="C65" s="109" t="str">
        <f>IF('Final financial statement'!C66=0,"",'Final financial statement'!C66)</f>
        <v/>
      </c>
      <c r="D65" s="109" t="str">
        <f>IF('Final financial statement'!D66=0,"",'Final financial statement'!D66)</f>
        <v/>
      </c>
      <c r="E65" s="174" t="str">
        <f>IF('Final financial statement'!E66=0,"",'Final financial statement'!E66)</f>
        <v/>
      </c>
      <c r="F65" s="174" t="str">
        <f>IF('Final financial statement'!F66=0,"",'Final financial statement'!F66)</f>
        <v/>
      </c>
      <c r="G65" s="92">
        <f>'Final financial statement'!G66</f>
        <v>0</v>
      </c>
      <c r="H65" s="92">
        <f>'Final financial statement'!H66</f>
        <v>0</v>
      </c>
      <c r="I65" s="92">
        <f>'Final financial statement'!I66</f>
        <v>0</v>
      </c>
      <c r="J65" s="92">
        <f>'Final financial statement'!J66</f>
        <v>0</v>
      </c>
      <c r="K65" s="92">
        <f>'Final financial statement'!K66</f>
        <v>0</v>
      </c>
      <c r="L65" s="92">
        <f>'Final financial statement'!L66</f>
        <v>0</v>
      </c>
      <c r="M65" s="148">
        <f>'Final financial statement'!M66</f>
        <v>0</v>
      </c>
    </row>
    <row r="66" spans="2:13" s="58" customFormat="1" x14ac:dyDescent="0.4">
      <c r="B66" s="204" t="s">
        <v>136</v>
      </c>
      <c r="C66" s="109" t="str">
        <f>IF('Final financial statement'!C67=0,"",'Final financial statement'!C67)</f>
        <v/>
      </c>
      <c r="D66" s="109" t="str">
        <f>IF('Final financial statement'!D67=0,"",'Final financial statement'!D67)</f>
        <v/>
      </c>
      <c r="E66" s="174" t="str">
        <f>IF('Final financial statement'!E67=0,"",'Final financial statement'!E67)</f>
        <v/>
      </c>
      <c r="F66" s="174" t="str">
        <f>IF('Final financial statement'!F67=0,"",'Final financial statement'!F67)</f>
        <v/>
      </c>
      <c r="G66" s="92">
        <f>'Final financial statement'!G67</f>
        <v>0</v>
      </c>
      <c r="H66" s="92">
        <f>'Final financial statement'!H67</f>
        <v>0</v>
      </c>
      <c r="I66" s="92">
        <f>'Final financial statement'!I67</f>
        <v>0</v>
      </c>
      <c r="J66" s="92">
        <f>'Final financial statement'!J67</f>
        <v>0</v>
      </c>
      <c r="K66" s="92">
        <f>'Final financial statement'!K67</f>
        <v>0</v>
      </c>
      <c r="L66" s="92">
        <f>'Final financial statement'!L67</f>
        <v>0</v>
      </c>
      <c r="M66" s="148">
        <f>'Final financial statement'!M67</f>
        <v>0</v>
      </c>
    </row>
    <row r="67" spans="2:13" s="58" customFormat="1" x14ac:dyDescent="0.4">
      <c r="B67" s="204" t="s">
        <v>137</v>
      </c>
      <c r="C67" s="109" t="str">
        <f>IF('Final financial statement'!C68=0,"",'Final financial statement'!C68)</f>
        <v/>
      </c>
      <c r="D67" s="109" t="str">
        <f>IF('Final financial statement'!D68=0,"",'Final financial statement'!D68)</f>
        <v/>
      </c>
      <c r="E67" s="174" t="str">
        <f>IF('Final financial statement'!E68=0,"",'Final financial statement'!E68)</f>
        <v/>
      </c>
      <c r="F67" s="174" t="str">
        <f>IF('Final financial statement'!F68=0,"",'Final financial statement'!F68)</f>
        <v/>
      </c>
      <c r="G67" s="92">
        <f>'Final financial statement'!G68</f>
        <v>0</v>
      </c>
      <c r="H67" s="92">
        <f>'Final financial statement'!H68</f>
        <v>0</v>
      </c>
      <c r="I67" s="92">
        <f>'Final financial statement'!I68</f>
        <v>0</v>
      </c>
      <c r="J67" s="92">
        <f>'Final financial statement'!J68</f>
        <v>0</v>
      </c>
      <c r="K67" s="92">
        <f>'Final financial statement'!K68</f>
        <v>0</v>
      </c>
      <c r="L67" s="92">
        <f>'Final financial statement'!L68</f>
        <v>0</v>
      </c>
      <c r="M67" s="148">
        <f>'Final financial statement'!M68</f>
        <v>0</v>
      </c>
    </row>
    <row r="68" spans="2:13" s="58" customFormat="1" x14ac:dyDescent="0.4">
      <c r="B68" s="204" t="s">
        <v>138</v>
      </c>
      <c r="C68" s="109" t="str">
        <f>IF('Final financial statement'!C69=0,"",'Final financial statement'!C69)</f>
        <v/>
      </c>
      <c r="D68" s="109" t="str">
        <f>IF('Final financial statement'!D69=0,"",'Final financial statement'!D69)</f>
        <v/>
      </c>
      <c r="E68" s="174" t="str">
        <f>IF('Final financial statement'!E69=0,"",'Final financial statement'!E69)</f>
        <v/>
      </c>
      <c r="F68" s="174" t="str">
        <f>IF('Final financial statement'!F69=0,"",'Final financial statement'!F69)</f>
        <v/>
      </c>
      <c r="G68" s="92">
        <f>'Final financial statement'!G69</f>
        <v>0</v>
      </c>
      <c r="H68" s="92">
        <f>'Final financial statement'!H69</f>
        <v>0</v>
      </c>
      <c r="I68" s="92">
        <f>'Final financial statement'!I69</f>
        <v>0</v>
      </c>
      <c r="J68" s="92">
        <f>'Final financial statement'!J69</f>
        <v>0</v>
      </c>
      <c r="K68" s="92">
        <f>'Final financial statement'!K69</f>
        <v>0</v>
      </c>
      <c r="L68" s="92">
        <f>'Final financial statement'!L69</f>
        <v>0</v>
      </c>
      <c r="M68" s="148">
        <f>'Final financial statement'!M69</f>
        <v>0</v>
      </c>
    </row>
    <row r="69" spans="2:13" s="58" customFormat="1" x14ac:dyDescent="0.4">
      <c r="B69" s="204" t="s">
        <v>139</v>
      </c>
      <c r="C69" s="109" t="str">
        <f>IF('Final financial statement'!C70=0,"",'Final financial statement'!C70)</f>
        <v/>
      </c>
      <c r="D69" s="109" t="str">
        <f>IF('Final financial statement'!D70=0,"",'Final financial statement'!D70)</f>
        <v/>
      </c>
      <c r="E69" s="174" t="str">
        <f>IF('Final financial statement'!E70=0,"",'Final financial statement'!E70)</f>
        <v/>
      </c>
      <c r="F69" s="174" t="str">
        <f>IF('Final financial statement'!F70=0,"",'Final financial statement'!F70)</f>
        <v/>
      </c>
      <c r="G69" s="92">
        <f>'Final financial statement'!G70</f>
        <v>0</v>
      </c>
      <c r="H69" s="92">
        <f>'Final financial statement'!H70</f>
        <v>0</v>
      </c>
      <c r="I69" s="92">
        <f>'Final financial statement'!I70</f>
        <v>0</v>
      </c>
      <c r="J69" s="92">
        <f>'Final financial statement'!J70</f>
        <v>0</v>
      </c>
      <c r="K69" s="92">
        <f>'Final financial statement'!K70</f>
        <v>0</v>
      </c>
      <c r="L69" s="92">
        <f>'Final financial statement'!L70</f>
        <v>0</v>
      </c>
      <c r="M69" s="148">
        <f>'Final financial statement'!M70</f>
        <v>0</v>
      </c>
    </row>
    <row r="70" spans="2:13" s="58" customFormat="1" x14ac:dyDescent="0.4">
      <c r="B70" s="204" t="s">
        <v>140</v>
      </c>
      <c r="C70" s="109" t="str">
        <f>IF('Final financial statement'!C71=0,"",'Final financial statement'!C71)</f>
        <v/>
      </c>
      <c r="D70" s="109" t="str">
        <f>IF('Final financial statement'!D71=0,"",'Final financial statement'!D71)</f>
        <v/>
      </c>
      <c r="E70" s="174" t="str">
        <f>IF('Final financial statement'!E71=0,"",'Final financial statement'!E71)</f>
        <v/>
      </c>
      <c r="F70" s="174" t="str">
        <f>IF('Final financial statement'!F71=0,"",'Final financial statement'!F71)</f>
        <v/>
      </c>
      <c r="G70" s="92">
        <f>'Final financial statement'!G71</f>
        <v>0</v>
      </c>
      <c r="H70" s="92">
        <f>'Final financial statement'!H71</f>
        <v>0</v>
      </c>
      <c r="I70" s="92">
        <f>'Final financial statement'!I71</f>
        <v>0</v>
      </c>
      <c r="J70" s="92">
        <f>'Final financial statement'!J71</f>
        <v>0</v>
      </c>
      <c r="K70" s="92">
        <f>'Final financial statement'!K71</f>
        <v>0</v>
      </c>
      <c r="L70" s="92">
        <f>'Final financial statement'!L71</f>
        <v>0</v>
      </c>
      <c r="M70" s="148">
        <f>'Final financial statement'!M71</f>
        <v>0</v>
      </c>
    </row>
    <row r="71" spans="2:13" s="58" customFormat="1" x14ac:dyDescent="0.4">
      <c r="B71" s="204" t="s">
        <v>141</v>
      </c>
      <c r="C71" s="109" t="str">
        <f>IF('Final financial statement'!C72=0,"",'Final financial statement'!C72)</f>
        <v/>
      </c>
      <c r="D71" s="109" t="str">
        <f>IF('Final financial statement'!D72=0,"",'Final financial statement'!D72)</f>
        <v/>
      </c>
      <c r="E71" s="174" t="str">
        <f>IF('Final financial statement'!E72=0,"",'Final financial statement'!E72)</f>
        <v/>
      </c>
      <c r="F71" s="174" t="str">
        <f>IF('Final financial statement'!F72=0,"",'Final financial statement'!F72)</f>
        <v/>
      </c>
      <c r="G71" s="92">
        <f>'Final financial statement'!G72</f>
        <v>0</v>
      </c>
      <c r="H71" s="92">
        <f>'Final financial statement'!H72</f>
        <v>0</v>
      </c>
      <c r="I71" s="92">
        <f>'Final financial statement'!I72</f>
        <v>0</v>
      </c>
      <c r="J71" s="92">
        <f>'Final financial statement'!J72</f>
        <v>0</v>
      </c>
      <c r="K71" s="92">
        <f>'Final financial statement'!K72</f>
        <v>0</v>
      </c>
      <c r="L71" s="92">
        <f>'Final financial statement'!L72</f>
        <v>0</v>
      </c>
      <c r="M71" s="148">
        <f>'Final financial statement'!M72</f>
        <v>0</v>
      </c>
    </row>
    <row r="72" spans="2:13" s="58" customFormat="1" x14ac:dyDescent="0.4">
      <c r="B72" s="204" t="s">
        <v>146</v>
      </c>
      <c r="C72" s="109" t="str">
        <f>IF('Final financial statement'!C73=0,"",'Final financial statement'!C73)</f>
        <v/>
      </c>
      <c r="D72" s="109" t="str">
        <f>IF('Final financial statement'!D73=0,"",'Final financial statement'!D73)</f>
        <v/>
      </c>
      <c r="E72" s="174" t="str">
        <f>IF('Final financial statement'!E73=0,"",'Final financial statement'!E73)</f>
        <v/>
      </c>
      <c r="F72" s="174" t="str">
        <f>IF('Final financial statement'!F73=0,"",'Final financial statement'!F73)</f>
        <v/>
      </c>
      <c r="G72" s="92">
        <f>'Final financial statement'!G73</f>
        <v>0</v>
      </c>
      <c r="H72" s="92">
        <f>'Final financial statement'!H73</f>
        <v>0</v>
      </c>
      <c r="I72" s="92">
        <f>'Final financial statement'!I73</f>
        <v>0</v>
      </c>
      <c r="J72" s="92">
        <f>'Final financial statement'!J73</f>
        <v>0</v>
      </c>
      <c r="K72" s="92">
        <f>'Final financial statement'!K73</f>
        <v>0</v>
      </c>
      <c r="L72" s="92">
        <f>'Final financial statement'!L73</f>
        <v>0</v>
      </c>
      <c r="M72" s="148">
        <f>'Final financial statement'!M73</f>
        <v>0</v>
      </c>
    </row>
    <row r="73" spans="2:13" s="58" customFormat="1" x14ac:dyDescent="0.4">
      <c r="B73" s="204" t="s">
        <v>147</v>
      </c>
      <c r="C73" s="109" t="str">
        <f>IF('Final financial statement'!C74=0,"",'Final financial statement'!C74)</f>
        <v/>
      </c>
      <c r="D73" s="109" t="str">
        <f>IF('Final financial statement'!D74=0,"",'Final financial statement'!D74)</f>
        <v/>
      </c>
      <c r="E73" s="174" t="str">
        <f>IF('Final financial statement'!E74=0,"",'Final financial statement'!E74)</f>
        <v/>
      </c>
      <c r="F73" s="174" t="str">
        <f>IF('Final financial statement'!F74=0,"",'Final financial statement'!F74)</f>
        <v/>
      </c>
      <c r="G73" s="92">
        <f>'Final financial statement'!G74</f>
        <v>0</v>
      </c>
      <c r="H73" s="92">
        <f>'Final financial statement'!H74</f>
        <v>0</v>
      </c>
      <c r="I73" s="92">
        <f>'Final financial statement'!I74</f>
        <v>0</v>
      </c>
      <c r="J73" s="92">
        <f>'Final financial statement'!J74</f>
        <v>0</v>
      </c>
      <c r="K73" s="92">
        <f>'Final financial statement'!K74</f>
        <v>0</v>
      </c>
      <c r="L73" s="92">
        <f>'Final financial statement'!L74</f>
        <v>0</v>
      </c>
      <c r="M73" s="148">
        <f>'Final financial statement'!M74</f>
        <v>0</v>
      </c>
    </row>
    <row r="74" spans="2:13" s="58" customFormat="1" x14ac:dyDescent="0.4">
      <c r="B74" s="204" t="s">
        <v>148</v>
      </c>
      <c r="C74" s="109" t="str">
        <f>IF('Final financial statement'!C75=0,"",'Final financial statement'!C75)</f>
        <v/>
      </c>
      <c r="D74" s="109" t="str">
        <f>IF('Final financial statement'!D75=0,"",'Final financial statement'!D75)</f>
        <v/>
      </c>
      <c r="E74" s="174" t="str">
        <f>IF('Final financial statement'!E75=0,"",'Final financial statement'!E75)</f>
        <v/>
      </c>
      <c r="F74" s="174" t="str">
        <f>IF('Final financial statement'!F75=0,"",'Final financial statement'!F75)</f>
        <v/>
      </c>
      <c r="G74" s="92">
        <f>'Final financial statement'!G75</f>
        <v>0</v>
      </c>
      <c r="H74" s="92">
        <f>'Final financial statement'!H75</f>
        <v>0</v>
      </c>
      <c r="I74" s="92">
        <f>'Final financial statement'!I75</f>
        <v>0</v>
      </c>
      <c r="J74" s="92">
        <f>'Final financial statement'!J75</f>
        <v>0</v>
      </c>
      <c r="K74" s="92">
        <f>'Final financial statement'!K75</f>
        <v>0</v>
      </c>
      <c r="L74" s="92">
        <f>'Final financial statement'!L75</f>
        <v>0</v>
      </c>
      <c r="M74" s="148">
        <f>'Final financial statement'!M75</f>
        <v>0</v>
      </c>
    </row>
    <row r="75" spans="2:13" s="58" customFormat="1" x14ac:dyDescent="0.4">
      <c r="B75" s="204" t="s">
        <v>149</v>
      </c>
      <c r="C75" s="109" t="str">
        <f>IF('Final financial statement'!C76=0,"",'Final financial statement'!C76)</f>
        <v/>
      </c>
      <c r="D75" s="109" t="str">
        <f>IF('Final financial statement'!D76=0,"",'Final financial statement'!D76)</f>
        <v/>
      </c>
      <c r="E75" s="174" t="str">
        <f>IF('Final financial statement'!E76=0,"",'Final financial statement'!E76)</f>
        <v/>
      </c>
      <c r="F75" s="174" t="str">
        <f>IF('Final financial statement'!F76=0,"",'Final financial statement'!F76)</f>
        <v/>
      </c>
      <c r="G75" s="92">
        <f>'Final financial statement'!G76</f>
        <v>0</v>
      </c>
      <c r="H75" s="92">
        <f>'Final financial statement'!H76</f>
        <v>0</v>
      </c>
      <c r="I75" s="92">
        <f>'Final financial statement'!I76</f>
        <v>0</v>
      </c>
      <c r="J75" s="92">
        <f>'Final financial statement'!J76</f>
        <v>0</v>
      </c>
      <c r="K75" s="92">
        <f>'Final financial statement'!K76</f>
        <v>0</v>
      </c>
      <c r="L75" s="92">
        <f>'Final financial statement'!L76</f>
        <v>0</v>
      </c>
      <c r="M75" s="148">
        <f>'Final financial statement'!M76</f>
        <v>0</v>
      </c>
    </row>
    <row r="76" spans="2:13" s="58" customFormat="1" x14ac:dyDescent="0.4">
      <c r="B76" s="204" t="s">
        <v>150</v>
      </c>
      <c r="C76" s="109" t="str">
        <f>IF('Final financial statement'!C77=0,"",'Final financial statement'!C77)</f>
        <v/>
      </c>
      <c r="D76" s="109" t="str">
        <f>IF('Final financial statement'!D77=0,"",'Final financial statement'!D77)</f>
        <v/>
      </c>
      <c r="E76" s="174" t="str">
        <f>IF('Final financial statement'!E77=0,"",'Final financial statement'!E77)</f>
        <v/>
      </c>
      <c r="F76" s="174" t="str">
        <f>IF('Final financial statement'!F77=0,"",'Final financial statement'!F77)</f>
        <v/>
      </c>
      <c r="G76" s="92">
        <f>'Final financial statement'!G77</f>
        <v>0</v>
      </c>
      <c r="H76" s="92">
        <f>'Final financial statement'!H77</f>
        <v>0</v>
      </c>
      <c r="I76" s="92">
        <f>'Final financial statement'!I77</f>
        <v>0</v>
      </c>
      <c r="J76" s="92">
        <f>'Final financial statement'!J77</f>
        <v>0</v>
      </c>
      <c r="K76" s="92">
        <f>'Final financial statement'!K77</f>
        <v>0</v>
      </c>
      <c r="L76" s="92">
        <f>'Final financial statement'!L77</f>
        <v>0</v>
      </c>
      <c r="M76" s="148">
        <f>'Final financial statement'!M77</f>
        <v>0</v>
      </c>
    </row>
    <row r="77" spans="2:13" x14ac:dyDescent="0.4">
      <c r="B77" s="247" t="s">
        <v>376</v>
      </c>
      <c r="C77" s="248"/>
      <c r="D77" s="248"/>
      <c r="E77" s="248"/>
      <c r="F77" s="249"/>
      <c r="G77" s="148">
        <f>'Final financial statement'!G78</f>
        <v>125107</v>
      </c>
      <c r="H77" s="148">
        <f>'Final financial statement'!H78</f>
        <v>0</v>
      </c>
      <c r="I77" s="148">
        <f>'Final financial statement'!I78</f>
        <v>0</v>
      </c>
      <c r="J77" s="148">
        <f>'Final financial statement'!J78</f>
        <v>129710.22</v>
      </c>
      <c r="K77" s="148">
        <f>'Final financial statement'!K78</f>
        <v>18654.940000000002</v>
      </c>
      <c r="L77" s="148">
        <f>'Final financial statement'!L78</f>
        <v>0</v>
      </c>
      <c r="M77" s="148">
        <f>'Final financial statement'!M78</f>
        <v>273472.15999999997</v>
      </c>
    </row>
    <row r="79" spans="2:13" ht="25" customHeight="1" x14ac:dyDescent="0.4">
      <c r="B79" s="243" t="s">
        <v>254</v>
      </c>
      <c r="C79" s="243"/>
      <c r="D79" s="243"/>
      <c r="E79" s="243"/>
      <c r="F79" s="243"/>
      <c r="G79" s="243"/>
      <c r="H79" s="243"/>
      <c r="I79" s="243"/>
      <c r="J79" s="243"/>
      <c r="K79" s="243"/>
      <c r="L79" s="243"/>
      <c r="M79" s="243"/>
    </row>
    <row r="80" spans="2:13" x14ac:dyDescent="0.4">
      <c r="B80" s="76"/>
      <c r="C80" s="88"/>
      <c r="D80" s="88"/>
      <c r="E80" s="88"/>
      <c r="F80" s="88"/>
      <c r="G80" s="88"/>
      <c r="H80" s="88"/>
      <c r="I80" s="88"/>
      <c r="J80" s="88"/>
      <c r="M80" s="16"/>
    </row>
    <row r="81" spans="2:13" ht="25" customHeight="1" x14ac:dyDescent="0.4">
      <c r="B81" s="15"/>
      <c r="C81" s="228" t="s">
        <v>229</v>
      </c>
      <c r="D81" s="228"/>
      <c r="F81" s="75" t="s">
        <v>209</v>
      </c>
      <c r="G81" s="269" t="str">
        <f>IF('Final financial statement'!G82=0,"To encode in the final financial statement sheet",'Final financial statement'!G82)</f>
        <v xml:space="preserve">FR76 1007 1750 0000 0010 0770 454 </v>
      </c>
      <c r="H81" s="269"/>
      <c r="I81" s="269"/>
      <c r="J81" s="269"/>
      <c r="K81" s="269"/>
      <c r="L81" s="269"/>
      <c r="M81" s="16"/>
    </row>
    <row r="82" spans="2:13" x14ac:dyDescent="0.4">
      <c r="B82" s="76"/>
      <c r="C82" s="77"/>
      <c r="D82" s="77"/>
      <c r="E82" s="77"/>
      <c r="F82" s="77"/>
      <c r="H82" s="77"/>
      <c r="I82" s="77"/>
      <c r="J82" s="77"/>
      <c r="M82" s="16"/>
    </row>
    <row r="83" spans="2:13" x14ac:dyDescent="0.4">
      <c r="B83" s="15"/>
      <c r="C83" s="228" t="s">
        <v>230</v>
      </c>
      <c r="D83" s="228"/>
      <c r="E83" s="228"/>
      <c r="F83" s="78"/>
      <c r="G83" s="78"/>
      <c r="H83" s="78"/>
      <c r="I83" s="79"/>
      <c r="M83" s="16"/>
    </row>
    <row r="84" spans="2:13" x14ac:dyDescent="0.4">
      <c r="B84" s="76"/>
      <c r="C84" s="68"/>
      <c r="D84" s="68"/>
      <c r="E84" s="68"/>
      <c r="F84" s="68"/>
      <c r="G84" s="68"/>
      <c r="H84" s="68"/>
      <c r="I84" s="68"/>
      <c r="J84" s="68"/>
      <c r="M84" s="16"/>
    </row>
    <row r="85" spans="2:13" s="59" customFormat="1" ht="25" customHeight="1" x14ac:dyDescent="0.35">
      <c r="B85" s="80"/>
      <c r="C85" s="227" t="s">
        <v>225</v>
      </c>
      <c r="D85" s="236" t="s">
        <v>256</v>
      </c>
      <c r="E85" s="236"/>
      <c r="F85" s="237"/>
      <c r="G85" s="237"/>
      <c r="H85" s="237"/>
      <c r="I85" s="237"/>
      <c r="J85" s="237"/>
      <c r="K85" s="237"/>
      <c r="L85" s="237"/>
      <c r="M85" s="175"/>
    </row>
    <row r="86" spans="2:13" s="59" customFormat="1" ht="25" customHeight="1" x14ac:dyDescent="0.35">
      <c r="B86" s="80"/>
      <c r="C86" s="227"/>
      <c r="D86" s="236"/>
      <c r="E86" s="236"/>
      <c r="F86" s="237"/>
      <c r="G86" s="237"/>
      <c r="H86" s="237"/>
      <c r="I86" s="237"/>
      <c r="J86" s="237"/>
      <c r="K86" s="237"/>
      <c r="L86" s="237"/>
      <c r="M86" s="175"/>
    </row>
    <row r="87" spans="2:13" s="59" customFormat="1" ht="25" customHeight="1" x14ac:dyDescent="0.35">
      <c r="B87" s="80"/>
      <c r="C87" s="227"/>
      <c r="D87" s="236"/>
      <c r="E87" s="236"/>
      <c r="F87" s="237"/>
      <c r="G87" s="237"/>
      <c r="H87" s="237"/>
      <c r="I87" s="237"/>
      <c r="J87" s="237"/>
      <c r="K87" s="237"/>
      <c r="L87" s="237"/>
      <c r="M87" s="175"/>
    </row>
    <row r="88" spans="2:13" x14ac:dyDescent="0.4">
      <c r="B88" s="12"/>
      <c r="C88" s="81"/>
      <c r="D88" s="82"/>
      <c r="E88" s="83"/>
      <c r="F88" s="84"/>
      <c r="G88" s="13"/>
      <c r="H88" s="82"/>
      <c r="I88" s="85"/>
      <c r="J88" s="13"/>
      <c r="K88" s="13"/>
      <c r="L88" s="13"/>
      <c r="M88" s="14"/>
    </row>
    <row r="89" spans="2:13" x14ac:dyDescent="0.4">
      <c r="B89" s="86"/>
      <c r="C89" s="87"/>
      <c r="D89" s="79"/>
      <c r="E89" s="79"/>
      <c r="F89" s="79"/>
      <c r="G89" s="87"/>
      <c r="H89" s="79"/>
      <c r="I89" s="79"/>
      <c r="J89" s="79"/>
    </row>
    <row r="90" spans="2:13" x14ac:dyDescent="0.4">
      <c r="B90" s="226" t="s">
        <v>232</v>
      </c>
      <c r="C90" s="226"/>
      <c r="D90" s="226"/>
      <c r="E90" s="226"/>
      <c r="F90" s="226"/>
      <c r="G90" s="226"/>
      <c r="H90" s="226"/>
      <c r="I90" s="226"/>
      <c r="J90" s="226"/>
      <c r="K90" s="226"/>
      <c r="L90" s="226"/>
    </row>
  </sheetData>
  <sheetProtection algorithmName="SHA-512" hashValue="o+fUD2tM/OL8GMqsR/uEjuBJYdflxAso11iqwmP8OyT2U2hPEZm+s9Xs6zZMe4p+3JFSPVr7Dgt21nR+kaZRMg==" saltValue="EUu+bY4iTx1QOmEvULyeJg==" spinCount="100000" sheet="1" selectLockedCells="1" selectUnlockedCells="1"/>
  <mergeCells count="49">
    <mergeCell ref="B7:M7"/>
    <mergeCell ref="G17:H17"/>
    <mergeCell ref="G16:H16"/>
    <mergeCell ref="G15:H15"/>
    <mergeCell ref="G14:H14"/>
    <mergeCell ref="G13:H13"/>
    <mergeCell ref="L9:M9"/>
    <mergeCell ref="I9:K9"/>
    <mergeCell ref="E14:F14"/>
    <mergeCell ref="B15:C15"/>
    <mergeCell ref="E15:F15"/>
    <mergeCell ref="B14:C14"/>
    <mergeCell ref="B9:C9"/>
    <mergeCell ref="D9:F9"/>
    <mergeCell ref="B11:C11"/>
    <mergeCell ref="E11:F11"/>
    <mergeCell ref="D85:L87"/>
    <mergeCell ref="B90:L90"/>
    <mergeCell ref="C85:C87"/>
    <mergeCell ref="C81:D81"/>
    <mergeCell ref="C83:E83"/>
    <mergeCell ref="B79:M79"/>
    <mergeCell ref="G81:L81"/>
    <mergeCell ref="B17:C17"/>
    <mergeCell ref="B16:C16"/>
    <mergeCell ref="E16:F16"/>
    <mergeCell ref="E17:F17"/>
    <mergeCell ref="B20:M20"/>
    <mergeCell ref="B77:F77"/>
    <mergeCell ref="E18:F18"/>
    <mergeCell ref="B18:C18"/>
    <mergeCell ref="L17:M18"/>
    <mergeCell ref="I17:K18"/>
    <mergeCell ref="I16:M16"/>
    <mergeCell ref="B12:C12"/>
    <mergeCell ref="E12:F12"/>
    <mergeCell ref="B13:C13"/>
    <mergeCell ref="G12:H12"/>
    <mergeCell ref="E13:F13"/>
    <mergeCell ref="L11:M11"/>
    <mergeCell ref="I11:K11"/>
    <mergeCell ref="I15:K15"/>
    <mergeCell ref="I14:K14"/>
    <mergeCell ref="I13:K13"/>
    <mergeCell ref="I12:K12"/>
    <mergeCell ref="L15:M15"/>
    <mergeCell ref="L14:M14"/>
    <mergeCell ref="L13:M13"/>
    <mergeCell ref="L12:M12"/>
  </mergeCells>
  <conditionalFormatting sqref="G12:H17">
    <cfRule type="cellIs" dxfId="647" priority="10" operator="notEqual">
      <formula>""</formula>
    </cfRule>
  </conditionalFormatting>
  <conditionalFormatting sqref="B9:C9">
    <cfRule type="expression" dxfId="646" priority="8">
      <formula>$D$9="To encode in the final financial statement sheet"</formula>
    </cfRule>
  </conditionalFormatting>
  <conditionalFormatting sqref="F81">
    <cfRule type="expression" dxfId="645" priority="7">
      <formula>$G$81="To encode in the final financial statement sheet"</formula>
    </cfRule>
  </conditionalFormatting>
  <dataValidations count="5">
    <dataValidation type="custom" allowBlank="1" showInputMessage="1" showErrorMessage="1" error="2 decimals only" prompt="2 decimals only" sqref="D12:D18">
      <formula1>D12=INT(D12*100)/100</formula1>
    </dataValidation>
    <dataValidation type="date" allowBlank="1" showInputMessage="1" showErrorMessage="1" error="Format not correct_x000a_Should be DD/MM/YY" prompt="DD/MM/YY" sqref="F88">
      <formula1>36526</formula1>
      <formula2>47848</formula2>
    </dataValidation>
    <dataValidation allowBlank="1" error="Click arrow to select Country " prompt="Click arrow to select Country " sqref="D22:E76"/>
    <dataValidation type="textLength" allowBlank="1" showInputMessage="1" showErrorMessage="1" error="Max 60 characters" prompt="Max 60 characters" sqref="C22:C76">
      <formula1>0</formula1>
      <formula2>60</formula2>
    </dataValidation>
    <dataValidation allowBlank="1" error="Please fill in the Project Number" prompt="Please fill in the Project Number" sqref="D9:F9"/>
  </dataValidations>
  <printOptions horizontalCentered="1"/>
  <pageMargins left="0.39370078740157483" right="0.39370078740157483" top="0.74803149606299213" bottom="0.74803149606299213" header="0.31496062992125984" footer="0.31496062992125984"/>
  <pageSetup paperSize="9" scale="30" orientation="portrait"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anchor moveWithCells="1">
                  <from>
                    <xdr:col>1</xdr:col>
                    <xdr:colOff>260350</xdr:colOff>
                    <xdr:row>80</xdr:row>
                    <xdr:rowOff>50800</xdr:rowOff>
                  </from>
                  <to>
                    <xdr:col>1</xdr:col>
                    <xdr:colOff>488950</xdr:colOff>
                    <xdr:row>80</xdr:row>
                    <xdr:rowOff>260350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9" operator="containsText" id="{291A8D7D-E115-4517-AAD2-8996C3F5F6CD}">
            <xm:f>NOT(ISERROR(SEARCH("Country not found",F22)))</xm:f>
            <xm:f>"Country not found"</xm:f>
            <x14:dxf>
              <font>
                <b/>
                <i val="0"/>
                <color theme="1"/>
              </font>
              <fill>
                <patternFill>
                  <bgColor rgb="FFFF0000"/>
                </patternFill>
              </fill>
            </x14:dxf>
          </x14:cfRule>
          <xm:sqref>F22:F76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59999389629810485"/>
  </sheetPr>
  <dimension ref="B1:H32"/>
  <sheetViews>
    <sheetView showGridLines="0" topLeftCell="E15" zoomScaleNormal="100" workbookViewId="0">
      <selection activeCell="B5" sqref="B5"/>
    </sheetView>
  </sheetViews>
  <sheetFormatPr baseColWidth="10" defaultColWidth="9.1796875" defaultRowHeight="14.5" x14ac:dyDescent="0.35"/>
  <cols>
    <col min="1" max="1" width="1.7265625" style="189" customWidth="1"/>
    <col min="2" max="3" width="30.7265625" style="189" customWidth="1"/>
    <col min="4" max="5" width="9.1796875" style="189"/>
    <col min="6" max="6" width="5.7265625" style="189" customWidth="1"/>
    <col min="7" max="7" width="0.81640625" style="189" customWidth="1"/>
    <col min="8" max="8" width="64" style="189" customWidth="1"/>
    <col min="9" max="16384" width="9.1796875" style="189"/>
  </cols>
  <sheetData>
    <row r="1" spans="2:8" ht="10" customHeight="1" x14ac:dyDescent="0.35"/>
    <row r="2" spans="2:8" s="190" customFormat="1" ht="15" customHeight="1" x14ac:dyDescent="0.35">
      <c r="B2" s="65" t="s">
        <v>532</v>
      </c>
      <c r="C2" s="65" t="s">
        <v>482</v>
      </c>
      <c r="H2" s="286" t="s">
        <v>533</v>
      </c>
    </row>
    <row r="3" spans="2:8" ht="15" customHeight="1" x14ac:dyDescent="0.35">
      <c r="B3" s="191" t="s">
        <v>635</v>
      </c>
      <c r="C3" s="192">
        <v>1</v>
      </c>
      <c r="H3" s="287"/>
    </row>
    <row r="4" spans="2:8" ht="15" customHeight="1" x14ac:dyDescent="0.35">
      <c r="B4" s="191" t="s">
        <v>641</v>
      </c>
      <c r="C4" s="192">
        <v>0.82599999999999996</v>
      </c>
      <c r="H4" s="288" t="s">
        <v>554</v>
      </c>
    </row>
    <row r="5" spans="2:8" x14ac:dyDescent="0.35">
      <c r="B5" s="191" t="s">
        <v>647</v>
      </c>
      <c r="C5" s="192">
        <v>2.274384697E-4</v>
      </c>
      <c r="H5" s="288"/>
    </row>
    <row r="6" spans="2:8" x14ac:dyDescent="0.35">
      <c r="B6" s="191"/>
      <c r="C6" s="192"/>
      <c r="H6" s="288"/>
    </row>
    <row r="7" spans="2:8" ht="15" customHeight="1" x14ac:dyDescent="0.35">
      <c r="B7" s="191"/>
      <c r="C7" s="192"/>
    </row>
    <row r="8" spans="2:8" ht="15" customHeight="1" x14ac:dyDescent="0.35">
      <c r="B8" s="191"/>
      <c r="C8" s="192"/>
      <c r="H8" s="286" t="s">
        <v>534</v>
      </c>
    </row>
    <row r="9" spans="2:8" ht="15" customHeight="1" x14ac:dyDescent="0.35">
      <c r="B9" s="191"/>
      <c r="C9" s="192"/>
      <c r="H9" s="287"/>
    </row>
    <row r="10" spans="2:8" ht="15" customHeight="1" x14ac:dyDescent="0.35">
      <c r="B10" s="191"/>
      <c r="C10" s="192"/>
      <c r="H10" s="288" t="s">
        <v>535</v>
      </c>
    </row>
    <row r="11" spans="2:8" x14ac:dyDescent="0.35">
      <c r="B11" s="191"/>
      <c r="C11" s="192"/>
      <c r="H11" s="288"/>
    </row>
    <row r="12" spans="2:8" x14ac:dyDescent="0.35">
      <c r="B12" s="191"/>
      <c r="C12" s="192"/>
      <c r="H12" s="288"/>
    </row>
    <row r="13" spans="2:8" x14ac:dyDescent="0.35">
      <c r="B13" s="191"/>
      <c r="C13" s="192"/>
    </row>
    <row r="14" spans="2:8" x14ac:dyDescent="0.35">
      <c r="B14" s="191"/>
      <c r="C14" s="192"/>
      <c r="H14" s="216" t="s">
        <v>537</v>
      </c>
    </row>
    <row r="15" spans="2:8" x14ac:dyDescent="0.35">
      <c r="B15" s="191"/>
      <c r="C15" s="192"/>
      <c r="H15" s="214" t="s">
        <v>540</v>
      </c>
    </row>
    <row r="16" spans="2:8" x14ac:dyDescent="0.35">
      <c r="B16" s="191"/>
      <c r="C16" s="192"/>
      <c r="H16" s="215" t="s">
        <v>541</v>
      </c>
    </row>
    <row r="17" spans="2:8" x14ac:dyDescent="0.35">
      <c r="B17" s="191"/>
      <c r="C17" s="192"/>
      <c r="H17" s="215" t="s">
        <v>542</v>
      </c>
    </row>
    <row r="18" spans="2:8" x14ac:dyDescent="0.35">
      <c r="B18" s="191"/>
      <c r="C18" s="192"/>
      <c r="H18" s="215" t="s">
        <v>548</v>
      </c>
    </row>
    <row r="19" spans="2:8" x14ac:dyDescent="0.35">
      <c r="B19" s="191"/>
      <c r="C19" s="192"/>
      <c r="H19" s="284" t="s">
        <v>547</v>
      </c>
    </row>
    <row r="20" spans="2:8" x14ac:dyDescent="0.35">
      <c r="B20" s="191"/>
      <c r="C20" s="192"/>
      <c r="H20" s="285"/>
    </row>
    <row r="21" spans="2:8" x14ac:dyDescent="0.35">
      <c r="B21" s="191"/>
      <c r="C21" s="192"/>
    </row>
    <row r="22" spans="2:8" x14ac:dyDescent="0.35">
      <c r="B22" s="191"/>
      <c r="C22" s="192"/>
      <c r="H22" s="216" t="s">
        <v>539</v>
      </c>
    </row>
    <row r="23" spans="2:8" x14ac:dyDescent="0.35">
      <c r="B23" s="191"/>
      <c r="C23" s="192"/>
      <c r="H23" s="214" t="s">
        <v>543</v>
      </c>
    </row>
    <row r="24" spans="2:8" x14ac:dyDescent="0.35">
      <c r="B24" s="191"/>
      <c r="C24" s="192"/>
      <c r="H24" s="215" t="s">
        <v>544</v>
      </c>
    </row>
    <row r="25" spans="2:8" x14ac:dyDescent="0.35">
      <c r="B25" s="191"/>
      <c r="C25" s="192"/>
      <c r="H25" s="215" t="s">
        <v>545</v>
      </c>
    </row>
    <row r="26" spans="2:8" x14ac:dyDescent="0.35">
      <c r="B26" s="191"/>
      <c r="C26" s="192"/>
      <c r="H26" s="215" t="s">
        <v>546</v>
      </c>
    </row>
    <row r="27" spans="2:8" x14ac:dyDescent="0.35">
      <c r="B27" s="191"/>
      <c r="C27" s="192"/>
      <c r="H27" s="283" t="s">
        <v>549</v>
      </c>
    </row>
    <row r="28" spans="2:8" x14ac:dyDescent="0.35">
      <c r="B28" s="191"/>
      <c r="C28" s="192"/>
      <c r="H28" s="283"/>
    </row>
    <row r="29" spans="2:8" x14ac:dyDescent="0.35">
      <c r="B29" s="191"/>
      <c r="C29" s="192"/>
      <c r="H29" s="284" t="s">
        <v>550</v>
      </c>
    </row>
    <row r="30" spans="2:8" x14ac:dyDescent="0.35">
      <c r="B30" s="191"/>
      <c r="C30" s="192"/>
      <c r="H30" s="285"/>
    </row>
    <row r="31" spans="2:8" x14ac:dyDescent="0.35">
      <c r="B31" s="191"/>
      <c r="C31" s="192"/>
    </row>
    <row r="32" spans="2:8" x14ac:dyDescent="0.35">
      <c r="B32" s="191"/>
      <c r="C32" s="192"/>
    </row>
  </sheetData>
  <sheetProtection algorithmName="SHA-512" hashValue="xChhIyjh04ZNsQJqc6FhSG1JjqnfUpwvZv2LZE+4TAQ91HjIj2NIYPVxjB/llwIm9yn9zpwXUIqncmaDd0fM3w==" saltValue="4C+aor2rVcgsJgsKEidAOg==" spinCount="100000" sheet="1" objects="1" scenarios="1" selectLockedCells="1"/>
  <mergeCells count="7">
    <mergeCell ref="H27:H28"/>
    <mergeCell ref="H19:H20"/>
    <mergeCell ref="H29:H30"/>
    <mergeCell ref="H2:H3"/>
    <mergeCell ref="H8:H9"/>
    <mergeCell ref="H4:H6"/>
    <mergeCell ref="H10:H12"/>
  </mergeCells>
  <dataValidations count="1">
    <dataValidation type="custom" allowBlank="1" showInputMessage="1" showErrorMessage="1" error="Please encode the exchange rate (7 decimals only)" prompt="Please encode the exchange rate (7 decimals only)" sqref="C3:C32">
      <formula1>C3=INT(C3*10000000)/10000000</formula1>
    </dataValidation>
  </dataValidations>
  <pageMargins left="0.7" right="0.7" top="0.75" bottom="0.75" header="0.3" footer="0.3"/>
  <pageSetup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5">
              <controlPr defaultSize="0" print="0" autoFill="0" autoPict="0" macro="[0]!Inforeuro">
                <anchor moveWithCells="1" sizeWithCells="1">
                  <from>
                    <xdr:col>3</xdr:col>
                    <xdr:colOff>95250</xdr:colOff>
                    <xdr:row>0</xdr:row>
                    <xdr:rowOff>114300</xdr:rowOff>
                  </from>
                  <to>
                    <xdr:col>5</xdr:col>
                    <xdr:colOff>323850</xdr:colOff>
                    <xdr:row>3</xdr:row>
                    <xdr:rowOff>76200</xdr:rowOff>
                  </to>
                </anchor>
              </controlPr>
            </control>
          </mc:Choice>
        </mc:AlternateContent>
        <mc:AlternateContent xmlns:mc="http://schemas.openxmlformats.org/markup-compatibility/2006">
          <mc:Choice Requires="x14">
            <control shapeId="70658" r:id="rId5" name="Button 2">
              <controlPr defaultSize="0" print="0" autoFill="0" autoPict="0" macro="[0]!ECB">
                <anchor moveWithCells="1" sizeWithCells="1">
                  <from>
                    <xdr:col>3</xdr:col>
                    <xdr:colOff>95250</xdr:colOff>
                    <xdr:row>3</xdr:row>
                    <xdr:rowOff>146050</xdr:rowOff>
                  </from>
                  <to>
                    <xdr:col>5</xdr:col>
                    <xdr:colOff>323850</xdr:colOff>
                    <xdr:row>6</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59999389629810485"/>
    <pageSetUpPr fitToPage="1"/>
  </sheetPr>
  <dimension ref="A1:R78"/>
  <sheetViews>
    <sheetView showGridLines="0" topLeftCell="F1" zoomScale="70" zoomScaleNormal="70" zoomScaleSheetLayoutView="55" workbookViewId="0">
      <pane ySplit="9" topLeftCell="A72" activePane="bottomLeft" state="frozen"/>
      <selection pane="bottomLeft" activeCell="L78" sqref="L78"/>
    </sheetView>
  </sheetViews>
  <sheetFormatPr baseColWidth="10" defaultColWidth="9.1796875" defaultRowHeight="18" x14ac:dyDescent="0.4"/>
  <cols>
    <col min="1" max="1" width="1.7265625" style="5" customWidth="1"/>
    <col min="2" max="2" width="42.7265625" style="5" customWidth="1"/>
    <col min="3" max="3" width="10.7265625" style="5" customWidth="1"/>
    <col min="4" max="5" width="50.7265625" style="91" customWidth="1"/>
    <col min="6" max="6" width="25.7265625" style="178" customWidth="1"/>
    <col min="7" max="7" width="20.7265625" style="91" customWidth="1"/>
    <col min="8" max="8" width="30.7265625" style="91" customWidth="1"/>
    <col min="9" max="10" width="32.7265625" style="91" customWidth="1"/>
    <col min="11" max="11" width="50.7265625" style="91" customWidth="1"/>
    <col min="12" max="14" width="20.7265625" style="91" customWidth="1"/>
    <col min="15" max="16" width="20.7265625" style="5" customWidth="1"/>
    <col min="17" max="17" width="11.7265625" style="5" bestFit="1" customWidth="1"/>
    <col min="18" max="18" width="1.7265625" style="5" hidden="1" customWidth="1"/>
    <col min="19" max="19" width="1.7265625" style="5" customWidth="1"/>
    <col min="20" max="16384" width="9.1796875" style="5"/>
  </cols>
  <sheetData>
    <row r="1" spans="1:18" ht="7.5" customHeight="1" x14ac:dyDescent="0.4"/>
    <row r="2" spans="1:18" s="8" customFormat="1" ht="45" customHeight="1" x14ac:dyDescent="0.4">
      <c r="B2" s="289" t="s">
        <v>152</v>
      </c>
      <c r="C2" s="290"/>
      <c r="D2" s="290"/>
      <c r="E2" s="290"/>
      <c r="F2" s="290"/>
      <c r="G2" s="290"/>
      <c r="H2" s="290"/>
      <c r="I2" s="290"/>
      <c r="J2" s="290"/>
      <c r="K2" s="290"/>
      <c r="L2" s="290"/>
      <c r="M2" s="290"/>
      <c r="N2" s="290"/>
      <c r="O2" s="290"/>
      <c r="P2" s="290"/>
      <c r="Q2" s="291"/>
    </row>
    <row r="3" spans="1:18" s="8" customFormat="1" ht="8.15" customHeight="1" x14ac:dyDescent="0.4">
      <c r="B3" s="29"/>
      <c r="C3" s="30"/>
      <c r="D3" s="30"/>
      <c r="E3" s="30"/>
      <c r="F3" s="145"/>
      <c r="G3" s="30"/>
      <c r="H3" s="30"/>
      <c r="I3" s="30"/>
      <c r="J3" s="30"/>
      <c r="K3" s="30"/>
      <c r="L3" s="30"/>
      <c r="M3" s="30"/>
      <c r="N3" s="30"/>
      <c r="O3" s="30"/>
      <c r="P3" s="30"/>
      <c r="Q3" s="17"/>
    </row>
    <row r="4" spans="1:18" s="8" customFormat="1" ht="20.149999999999999" customHeight="1" x14ac:dyDescent="0.4">
      <c r="B4" s="292" t="s">
        <v>377</v>
      </c>
      <c r="C4" s="292"/>
      <c r="D4" s="293">
        <f>SUMIF(Q:Q,"&lt;&gt;Error",P:P)</f>
        <v>125107</v>
      </c>
      <c r="E4" s="296" t="str">
        <f>IF(D4&gt;ROUND('Final financial statement'!D12*1.1,2),"Exceeds Grant Awarded + 10%","")</f>
        <v/>
      </c>
      <c r="F4" s="145"/>
      <c r="G4" s="30"/>
      <c r="H4" s="30"/>
      <c r="I4" s="30"/>
      <c r="J4" s="30"/>
      <c r="K4" s="30"/>
      <c r="L4" s="30"/>
      <c r="M4" s="30"/>
      <c r="N4" s="30"/>
      <c r="O4" s="30"/>
      <c r="P4" s="30"/>
      <c r="Q4" s="17"/>
    </row>
    <row r="5" spans="1:18" s="8" customFormat="1" ht="20.149999999999999" customHeight="1" x14ac:dyDescent="0.4">
      <c r="B5" s="292"/>
      <c r="C5" s="292"/>
      <c r="D5" s="294"/>
      <c r="E5" s="296"/>
      <c r="F5" s="145"/>
      <c r="G5" s="30"/>
      <c r="H5" s="30"/>
      <c r="I5" s="30"/>
      <c r="J5" s="30"/>
      <c r="K5" s="30"/>
      <c r="L5" s="30"/>
      <c r="M5" s="30"/>
      <c r="N5" s="30"/>
      <c r="O5" s="30"/>
      <c r="P5" s="30"/>
      <c r="Q5" s="17"/>
    </row>
    <row r="6" spans="1:18" s="8" customFormat="1" ht="8.15" customHeight="1" x14ac:dyDescent="0.4">
      <c r="B6" s="292"/>
      <c r="C6" s="292"/>
      <c r="D6" s="295"/>
      <c r="E6" s="296"/>
      <c r="F6" s="145"/>
      <c r="G6" s="30"/>
      <c r="H6" s="30"/>
      <c r="I6" s="30"/>
      <c r="J6" s="30"/>
      <c r="K6" s="30"/>
      <c r="L6" s="30"/>
      <c r="M6" s="30"/>
      <c r="N6" s="30"/>
      <c r="O6" s="30"/>
      <c r="P6" s="30"/>
      <c r="Q6" s="17"/>
    </row>
    <row r="7" spans="1:18" s="8" customFormat="1" ht="8.15" customHeight="1" x14ac:dyDescent="0.4">
      <c r="B7" s="27"/>
      <c r="C7" s="28"/>
      <c r="D7" s="28"/>
      <c r="E7" s="28"/>
      <c r="F7" s="179"/>
      <c r="G7" s="28"/>
      <c r="H7" s="28"/>
      <c r="I7" s="28"/>
      <c r="J7" s="28"/>
      <c r="K7" s="28"/>
      <c r="L7" s="28"/>
      <c r="M7" s="28"/>
      <c r="N7" s="28"/>
      <c r="O7" s="28"/>
      <c r="P7" s="28"/>
      <c r="Q7" s="18"/>
    </row>
    <row r="8" spans="1:18" s="30" customFormat="1" ht="54" x14ac:dyDescent="0.4">
      <c r="A8" s="145"/>
      <c r="B8" s="205" t="s">
        <v>151</v>
      </c>
      <c r="C8" s="205" t="s">
        <v>142</v>
      </c>
      <c r="D8" s="205" t="s">
        <v>489</v>
      </c>
      <c r="E8" s="205" t="s">
        <v>486</v>
      </c>
      <c r="F8" s="205" t="s">
        <v>487</v>
      </c>
      <c r="G8" s="205" t="s">
        <v>200</v>
      </c>
      <c r="H8" s="205" t="s">
        <v>199</v>
      </c>
      <c r="I8" s="205" t="s">
        <v>260</v>
      </c>
      <c r="J8" s="205" t="s">
        <v>491</v>
      </c>
      <c r="K8" s="205" t="s">
        <v>395</v>
      </c>
      <c r="L8" s="205" t="s">
        <v>492</v>
      </c>
      <c r="M8" s="205" t="s">
        <v>493</v>
      </c>
      <c r="N8" s="205" t="s">
        <v>497</v>
      </c>
      <c r="O8" s="66" t="s">
        <v>498</v>
      </c>
      <c r="P8" s="205" t="s">
        <v>499</v>
      </c>
      <c r="Q8" s="205" t="s">
        <v>184</v>
      </c>
    </row>
    <row r="9" spans="1:18" s="24" customFormat="1" hidden="1" x14ac:dyDescent="0.35">
      <c r="B9" s="154"/>
      <c r="C9" s="22"/>
      <c r="D9" s="57" t="str">
        <f t="shared" ref="D9:D43" si="0">IFERROR(IF(VLOOKUP(C9,PartnerN°Ref,2,FALSE)=0,"",VLOOKUP(C9,PartnerN°Ref,2,FALSE)),"")</f>
        <v/>
      </c>
      <c r="E9" s="57" t="str">
        <f t="shared" ref="E9:E43" si="1">IFERROR(IF(VLOOKUP(C9,PartnerN°Ref,3,FALSE)=0,"",VLOOKUP(C9,PartnerN°Ref,3,FALSE)),"")</f>
        <v/>
      </c>
      <c r="F9" s="174" t="str">
        <f t="shared" ref="F9:F43" si="2">IFERROR(IF(VLOOKUP(C9,PartnerN°Ref,4,FALSE)=0,"",VLOOKUP(C9,PartnerN°Ref,4,FALSE)),"")</f>
        <v/>
      </c>
      <c r="G9" s="154"/>
      <c r="H9" s="154"/>
      <c r="I9" s="154"/>
      <c r="J9" s="154"/>
      <c r="K9" s="154"/>
      <c r="L9" s="64"/>
      <c r="M9" s="64"/>
      <c r="N9" s="25">
        <v>0</v>
      </c>
      <c r="O9" s="93">
        <f t="shared" ref="O9:O43" si="3">IF(Q9="Error",0,IFERROR(INDEX(Rates,MATCH(E9,CountryALL,0),MATCH(I9,Category,0)),0))</f>
        <v>0</v>
      </c>
      <c r="P9" s="94">
        <f t="shared" ref="P9:P43" si="4">IF(Q9="Error",0,R9*O9)</f>
        <v>0</v>
      </c>
      <c r="Q9" s="23" t="str">
        <f t="shared" ref="Q9:Q43" si="5">IF(OR(COUNTBLANK(B9:N9)&gt;0,COUNTIF(WorkPackage,B9)=0,COUNTIF(PartnerN°,C9)=0,COUNTIF(CountryALL,E9)=0,COUNTIF(Role_Code,F9)=0,COUNTIF(StaffCat,I9)=0,(M9-L9)&lt;0,ISNUMBER(N9)=FALSE,IF(ISNUMBER(N9)=TRUE,N9=INT(N9*1)/1=FALSE)),"Error","")</f>
        <v>Error</v>
      </c>
      <c r="R9" s="24">
        <f t="shared" ref="R9:R43" si="6">IF(N9&gt;(M9-L9)+1,(M9-L9)+1,N9)</f>
        <v>0</v>
      </c>
    </row>
    <row r="10" spans="1:18" s="24" customFormat="1" ht="54" x14ac:dyDescent="0.35">
      <c r="B10" s="154" t="s">
        <v>156</v>
      </c>
      <c r="C10" s="22" t="s">
        <v>6</v>
      </c>
      <c r="D10" s="57" t="str">
        <f t="shared" si="0"/>
        <v>Université de Paris</v>
      </c>
      <c r="E10" s="57" t="str">
        <f t="shared" si="1"/>
        <v>France</v>
      </c>
      <c r="F10" s="174" t="str">
        <f t="shared" si="2"/>
        <v>Coord</v>
      </c>
      <c r="G10" s="154" t="s">
        <v>578</v>
      </c>
      <c r="H10" s="154" t="s">
        <v>569</v>
      </c>
      <c r="I10" s="154" t="s">
        <v>126</v>
      </c>
      <c r="J10" s="154" t="s">
        <v>579</v>
      </c>
      <c r="K10" s="154" t="s">
        <v>607</v>
      </c>
      <c r="L10" s="64">
        <v>43845</v>
      </c>
      <c r="M10" s="64">
        <v>44043</v>
      </c>
      <c r="N10" s="25">
        <v>3</v>
      </c>
      <c r="O10" s="93">
        <f t="shared" si="3"/>
        <v>214</v>
      </c>
      <c r="P10" s="94">
        <f t="shared" si="4"/>
        <v>642</v>
      </c>
      <c r="Q10" s="23" t="str">
        <f t="shared" si="5"/>
        <v/>
      </c>
      <c r="R10" s="24">
        <f t="shared" si="6"/>
        <v>3</v>
      </c>
    </row>
    <row r="11" spans="1:18" s="24" customFormat="1" ht="36" x14ac:dyDescent="0.35">
      <c r="B11" s="154" t="s">
        <v>156</v>
      </c>
      <c r="C11" s="22" t="s">
        <v>6</v>
      </c>
      <c r="D11" s="57" t="str">
        <f t="shared" ref="D11" si="7">IFERROR(IF(VLOOKUP(C11,PartnerN°Ref,2,FALSE)=0,"",VLOOKUP(C11,PartnerN°Ref,2,FALSE)),"")</f>
        <v>Université de Paris</v>
      </c>
      <c r="E11" s="57" t="str">
        <f t="shared" ref="E11" si="8">IFERROR(IF(VLOOKUP(C11,PartnerN°Ref,3,FALSE)=0,"",VLOOKUP(C11,PartnerN°Ref,3,FALSE)),"")</f>
        <v>France</v>
      </c>
      <c r="F11" s="174" t="str">
        <f t="shared" ref="F11" si="9">IFERROR(IF(VLOOKUP(C11,PartnerN°Ref,4,FALSE)=0,"",VLOOKUP(C11,PartnerN°Ref,4,FALSE)),"")</f>
        <v>Coord</v>
      </c>
      <c r="G11" s="154" t="s">
        <v>578</v>
      </c>
      <c r="H11" s="154" t="s">
        <v>589</v>
      </c>
      <c r="I11" s="154" t="s">
        <v>126</v>
      </c>
      <c r="J11" s="154" t="s">
        <v>591</v>
      </c>
      <c r="K11" s="154" t="s">
        <v>651</v>
      </c>
      <c r="L11" s="64">
        <v>43845</v>
      </c>
      <c r="M11" s="64">
        <v>44043</v>
      </c>
      <c r="N11" s="25">
        <v>2</v>
      </c>
      <c r="O11" s="93">
        <f t="shared" ref="O11" si="10">IF(Q11="Error",0,IFERROR(INDEX(Rates,MATCH(E11,CountryALL,0),MATCH(I11,Category,0)),0))</f>
        <v>214</v>
      </c>
      <c r="P11" s="94">
        <f t="shared" ref="P11" si="11">IF(Q11="Error",0,R11*O11)</f>
        <v>428</v>
      </c>
      <c r="Q11" s="23" t="str">
        <f t="shared" ref="Q11" si="12">IF(OR(COUNTBLANK(B11:N11)&gt;0,COUNTIF(WorkPackage,B11)=0,COUNTIF(PartnerN°,C11)=0,COUNTIF(CountryALL,E11)=0,COUNTIF(Role_Code,F11)=0,COUNTIF(StaffCat,I11)=0,(M11-L11)&lt;0,ISNUMBER(N11)=FALSE,IF(ISNUMBER(N11)=TRUE,N11=INT(N11*1)/1=FALSE)),"Error","")</f>
        <v/>
      </c>
      <c r="R11" s="24">
        <f t="shared" ref="R11" si="13">IF(N11&gt;(M11-L11)+1,(M11-L11)+1,N11)</f>
        <v>2</v>
      </c>
    </row>
    <row r="12" spans="1:18" s="24" customFormat="1" ht="54" x14ac:dyDescent="0.35">
      <c r="B12" s="154" t="s">
        <v>156</v>
      </c>
      <c r="C12" s="22" t="s">
        <v>7</v>
      </c>
      <c r="D12" s="57" t="str">
        <f t="shared" si="0"/>
        <v>Universidad Industrial de Santander</v>
      </c>
      <c r="E12" s="57" t="str">
        <f t="shared" si="1"/>
        <v>Colombia</v>
      </c>
      <c r="F12" s="174" t="str">
        <f t="shared" si="2"/>
        <v>Partner</v>
      </c>
      <c r="G12" s="154" t="s">
        <v>578</v>
      </c>
      <c r="H12" s="154" t="s">
        <v>570</v>
      </c>
      <c r="I12" s="154" t="s">
        <v>126</v>
      </c>
      <c r="J12" s="154" t="s">
        <v>591</v>
      </c>
      <c r="K12" s="154" t="s">
        <v>608</v>
      </c>
      <c r="L12" s="64">
        <v>43845</v>
      </c>
      <c r="M12" s="64">
        <v>44043</v>
      </c>
      <c r="N12" s="25">
        <v>10</v>
      </c>
      <c r="O12" s="93">
        <f t="shared" si="3"/>
        <v>80</v>
      </c>
      <c r="P12" s="94">
        <f t="shared" si="4"/>
        <v>800</v>
      </c>
      <c r="Q12" s="23" t="str">
        <f t="shared" si="5"/>
        <v/>
      </c>
      <c r="R12" s="24">
        <f t="shared" si="6"/>
        <v>10</v>
      </c>
    </row>
    <row r="13" spans="1:18" s="24" customFormat="1" ht="54" x14ac:dyDescent="0.35">
      <c r="B13" s="154" t="s">
        <v>156</v>
      </c>
      <c r="C13" s="22" t="s">
        <v>8</v>
      </c>
      <c r="D13" s="57" t="str">
        <f t="shared" si="0"/>
        <v>Universidad Antonio Narino</v>
      </c>
      <c r="E13" s="57" t="str">
        <f t="shared" si="1"/>
        <v>Colombia</v>
      </c>
      <c r="F13" s="174" t="str">
        <f t="shared" si="2"/>
        <v>Partner</v>
      </c>
      <c r="G13" s="154" t="s">
        <v>578</v>
      </c>
      <c r="H13" s="154" t="s">
        <v>571</v>
      </c>
      <c r="I13" s="154" t="s">
        <v>126</v>
      </c>
      <c r="J13" s="154" t="s">
        <v>579</v>
      </c>
      <c r="K13" s="154" t="s">
        <v>609</v>
      </c>
      <c r="L13" s="64">
        <v>43845</v>
      </c>
      <c r="M13" s="64">
        <v>44043</v>
      </c>
      <c r="N13" s="25">
        <v>5</v>
      </c>
      <c r="O13" s="93">
        <f t="shared" si="3"/>
        <v>80</v>
      </c>
      <c r="P13" s="94">
        <f t="shared" si="4"/>
        <v>400</v>
      </c>
      <c r="Q13" s="23" t="str">
        <f t="shared" si="5"/>
        <v/>
      </c>
      <c r="R13" s="24">
        <f t="shared" si="6"/>
        <v>5</v>
      </c>
    </row>
    <row r="14" spans="1:18" s="24" customFormat="1" ht="54" x14ac:dyDescent="0.35">
      <c r="B14" s="154" t="s">
        <v>156</v>
      </c>
      <c r="C14" s="22" t="s">
        <v>8</v>
      </c>
      <c r="D14" s="57" t="str">
        <f t="shared" si="0"/>
        <v>Universidad Antonio Narino</v>
      </c>
      <c r="E14" s="57" t="str">
        <f t="shared" si="1"/>
        <v>Colombia</v>
      </c>
      <c r="F14" s="174" t="str">
        <f t="shared" si="2"/>
        <v>Partner</v>
      </c>
      <c r="G14" s="154" t="s">
        <v>578</v>
      </c>
      <c r="H14" s="154" t="s">
        <v>581</v>
      </c>
      <c r="I14" s="154" t="s">
        <v>126</v>
      </c>
      <c r="J14" s="154" t="s">
        <v>579</v>
      </c>
      <c r="K14" s="154" t="s">
        <v>610</v>
      </c>
      <c r="L14" s="64">
        <v>43941</v>
      </c>
      <c r="M14" s="64">
        <v>44043</v>
      </c>
      <c r="N14" s="25">
        <v>5</v>
      </c>
      <c r="O14" s="93">
        <f t="shared" si="3"/>
        <v>80</v>
      </c>
      <c r="P14" s="94">
        <f t="shared" si="4"/>
        <v>400</v>
      </c>
      <c r="Q14" s="23" t="str">
        <f t="shared" si="5"/>
        <v/>
      </c>
      <c r="R14" s="24">
        <f t="shared" si="6"/>
        <v>5</v>
      </c>
    </row>
    <row r="15" spans="1:18" s="24" customFormat="1" ht="54" x14ac:dyDescent="0.35">
      <c r="B15" s="154" t="s">
        <v>156</v>
      </c>
      <c r="C15" s="22" t="s">
        <v>9</v>
      </c>
      <c r="D15" s="57" t="str">
        <f t="shared" si="0"/>
        <v>Universidad San Francisco de Quito</v>
      </c>
      <c r="E15" s="57" t="str">
        <f t="shared" si="1"/>
        <v>Ecuador</v>
      </c>
      <c r="F15" s="174" t="str">
        <f t="shared" si="2"/>
        <v>Partner</v>
      </c>
      <c r="G15" s="154" t="s">
        <v>578</v>
      </c>
      <c r="H15" s="154" t="s">
        <v>572</v>
      </c>
      <c r="I15" s="154" t="s">
        <v>126</v>
      </c>
      <c r="J15" s="154" t="s">
        <v>579</v>
      </c>
      <c r="K15" s="154" t="s">
        <v>611</v>
      </c>
      <c r="L15" s="64">
        <v>43845</v>
      </c>
      <c r="M15" s="64">
        <v>44043</v>
      </c>
      <c r="N15" s="25">
        <v>5</v>
      </c>
      <c r="O15" s="93">
        <f t="shared" si="3"/>
        <v>57</v>
      </c>
      <c r="P15" s="94">
        <f t="shared" si="4"/>
        <v>285</v>
      </c>
      <c r="Q15" s="23" t="str">
        <f t="shared" si="5"/>
        <v/>
      </c>
      <c r="R15" s="24">
        <f t="shared" si="6"/>
        <v>5</v>
      </c>
    </row>
    <row r="16" spans="1:18" s="24" customFormat="1" ht="54" x14ac:dyDescent="0.35">
      <c r="B16" s="154" t="s">
        <v>156</v>
      </c>
      <c r="C16" s="22" t="s">
        <v>10</v>
      </c>
      <c r="D16" s="57" t="str">
        <f t="shared" si="0"/>
        <v>Universidadde Investigacionde Tecnologia Experimental YACHAY</v>
      </c>
      <c r="E16" s="57" t="str">
        <f t="shared" si="1"/>
        <v>Ecuador</v>
      </c>
      <c r="F16" s="174" t="str">
        <f t="shared" si="2"/>
        <v>Partner</v>
      </c>
      <c r="G16" s="154" t="s">
        <v>578</v>
      </c>
      <c r="H16" s="154" t="s">
        <v>573</v>
      </c>
      <c r="I16" s="154" t="s">
        <v>126</v>
      </c>
      <c r="J16" s="154" t="s">
        <v>579</v>
      </c>
      <c r="K16" s="154" t="s">
        <v>612</v>
      </c>
      <c r="L16" s="64">
        <v>43845</v>
      </c>
      <c r="M16" s="64">
        <v>44043</v>
      </c>
      <c r="N16" s="25">
        <v>0</v>
      </c>
      <c r="O16" s="93">
        <f t="shared" si="3"/>
        <v>57</v>
      </c>
      <c r="P16" s="94">
        <f t="shared" si="4"/>
        <v>0</v>
      </c>
      <c r="Q16" s="23" t="str">
        <f t="shared" si="5"/>
        <v/>
      </c>
      <c r="R16" s="24">
        <f t="shared" si="6"/>
        <v>0</v>
      </c>
    </row>
    <row r="17" spans="2:18" s="24" customFormat="1" ht="36" x14ac:dyDescent="0.35">
      <c r="B17" s="154" t="s">
        <v>156</v>
      </c>
      <c r="C17" s="22" t="s">
        <v>11</v>
      </c>
      <c r="D17" s="57" t="str">
        <f t="shared" si="0"/>
        <v>Universidad Nacional Mayor de San Marcos</v>
      </c>
      <c r="E17" s="57" t="str">
        <f t="shared" si="1"/>
        <v>Peru</v>
      </c>
      <c r="F17" s="174" t="str">
        <f t="shared" si="2"/>
        <v>Partner</v>
      </c>
      <c r="G17" s="154" t="s">
        <v>578</v>
      </c>
      <c r="H17" s="154" t="s">
        <v>574</v>
      </c>
      <c r="I17" s="154" t="s">
        <v>127</v>
      </c>
      <c r="J17" s="154" t="s">
        <v>590</v>
      </c>
      <c r="K17" s="154" t="s">
        <v>592</v>
      </c>
      <c r="L17" s="64">
        <v>43845</v>
      </c>
      <c r="M17" s="64">
        <v>44043</v>
      </c>
      <c r="N17" s="25">
        <v>17</v>
      </c>
      <c r="O17" s="93">
        <f t="shared" si="3"/>
        <v>108</v>
      </c>
      <c r="P17" s="94">
        <f t="shared" si="4"/>
        <v>1836</v>
      </c>
      <c r="Q17" s="23" t="str">
        <f t="shared" si="5"/>
        <v/>
      </c>
      <c r="R17" s="24">
        <f t="shared" si="6"/>
        <v>17</v>
      </c>
    </row>
    <row r="18" spans="2:18" s="24" customFormat="1" ht="54" x14ac:dyDescent="0.35">
      <c r="B18" s="154" t="s">
        <v>156</v>
      </c>
      <c r="C18" s="22" t="s">
        <v>12</v>
      </c>
      <c r="D18" s="57" t="str">
        <f t="shared" si="0"/>
        <v>Universidad Nacional de Ingenieria</v>
      </c>
      <c r="E18" s="57" t="str">
        <f t="shared" si="1"/>
        <v>Peru</v>
      </c>
      <c r="F18" s="174" t="str">
        <f t="shared" si="2"/>
        <v>Partner</v>
      </c>
      <c r="G18" s="154" t="s">
        <v>578</v>
      </c>
      <c r="H18" s="154" t="s">
        <v>575</v>
      </c>
      <c r="I18" s="154" t="s">
        <v>126</v>
      </c>
      <c r="J18" s="154" t="s">
        <v>579</v>
      </c>
      <c r="K18" s="154" t="s">
        <v>613</v>
      </c>
      <c r="L18" s="64">
        <v>43845</v>
      </c>
      <c r="M18" s="64">
        <v>44408</v>
      </c>
      <c r="N18" s="25">
        <v>7</v>
      </c>
      <c r="O18" s="93">
        <f t="shared" si="3"/>
        <v>80</v>
      </c>
      <c r="P18" s="94">
        <f t="shared" si="4"/>
        <v>560</v>
      </c>
      <c r="Q18" s="23" t="str">
        <f t="shared" si="5"/>
        <v/>
      </c>
      <c r="R18" s="24">
        <f t="shared" si="6"/>
        <v>7</v>
      </c>
    </row>
    <row r="19" spans="2:18" s="24" customFormat="1" ht="54" x14ac:dyDescent="0.35">
      <c r="B19" s="154" t="s">
        <v>156</v>
      </c>
      <c r="C19" s="22" t="s">
        <v>13</v>
      </c>
      <c r="D19" s="57" t="str">
        <f t="shared" si="0"/>
        <v>Universidad Central de Venezuela</v>
      </c>
      <c r="E19" s="57" t="str">
        <f t="shared" si="1"/>
        <v>Venezuela</v>
      </c>
      <c r="F19" s="174" t="str">
        <f t="shared" si="2"/>
        <v>Partner</v>
      </c>
      <c r="G19" s="154" t="s">
        <v>578</v>
      </c>
      <c r="H19" s="154" t="s">
        <v>576</v>
      </c>
      <c r="I19" s="154" t="s">
        <v>126</v>
      </c>
      <c r="J19" s="154" t="s">
        <v>579</v>
      </c>
      <c r="K19" s="154" t="s">
        <v>614</v>
      </c>
      <c r="L19" s="64">
        <v>43845</v>
      </c>
      <c r="M19" s="64">
        <v>44408</v>
      </c>
      <c r="N19" s="25">
        <v>5</v>
      </c>
      <c r="O19" s="93">
        <f t="shared" si="3"/>
        <v>80</v>
      </c>
      <c r="P19" s="94">
        <f t="shared" si="4"/>
        <v>400</v>
      </c>
      <c r="Q19" s="23" t="str">
        <f t="shared" si="5"/>
        <v/>
      </c>
      <c r="R19" s="24">
        <f t="shared" si="6"/>
        <v>5</v>
      </c>
    </row>
    <row r="20" spans="2:18" s="24" customFormat="1" ht="54" x14ac:dyDescent="0.35">
      <c r="B20" s="154" t="s">
        <v>156</v>
      </c>
      <c r="C20" s="22" t="s">
        <v>14</v>
      </c>
      <c r="D20" s="57" t="str">
        <f t="shared" si="0"/>
        <v>Universidad Simon Bolivar</v>
      </c>
      <c r="E20" s="57" t="str">
        <f t="shared" si="1"/>
        <v>Venezuela</v>
      </c>
      <c r="F20" s="174" t="str">
        <f t="shared" si="2"/>
        <v>Partner</v>
      </c>
      <c r="G20" s="154" t="s">
        <v>578</v>
      </c>
      <c r="H20" s="154" t="s">
        <v>567</v>
      </c>
      <c r="I20" s="154" t="s">
        <v>126</v>
      </c>
      <c r="J20" s="154" t="s">
        <v>579</v>
      </c>
      <c r="K20" s="154" t="s">
        <v>615</v>
      </c>
      <c r="L20" s="64">
        <v>43845</v>
      </c>
      <c r="M20" s="64">
        <v>44408</v>
      </c>
      <c r="N20" s="25">
        <v>5</v>
      </c>
      <c r="O20" s="93">
        <f t="shared" si="3"/>
        <v>80</v>
      </c>
      <c r="P20" s="94">
        <f t="shared" si="4"/>
        <v>400</v>
      </c>
      <c r="Q20" s="23" t="str">
        <f t="shared" si="5"/>
        <v/>
      </c>
      <c r="R20" s="24">
        <f t="shared" si="6"/>
        <v>5</v>
      </c>
    </row>
    <row r="21" spans="2:18" s="24" customFormat="1" ht="72" x14ac:dyDescent="0.35">
      <c r="B21" s="154" t="s">
        <v>155</v>
      </c>
      <c r="C21" s="22" t="s">
        <v>6</v>
      </c>
      <c r="D21" s="57" t="str">
        <f t="shared" si="0"/>
        <v>Université de Paris</v>
      </c>
      <c r="E21" s="57" t="str">
        <f t="shared" si="1"/>
        <v>France</v>
      </c>
      <c r="F21" s="174" t="str">
        <f t="shared" si="2"/>
        <v>Coord</v>
      </c>
      <c r="G21" s="154" t="s">
        <v>584</v>
      </c>
      <c r="H21" s="154" t="s">
        <v>569</v>
      </c>
      <c r="I21" s="154" t="s">
        <v>126</v>
      </c>
      <c r="J21" s="154" t="s">
        <v>594</v>
      </c>
      <c r="K21" s="154" t="s">
        <v>617</v>
      </c>
      <c r="L21" s="64">
        <v>43955</v>
      </c>
      <c r="M21" s="64">
        <v>44196</v>
      </c>
      <c r="N21" s="25">
        <v>6</v>
      </c>
      <c r="O21" s="93">
        <f t="shared" si="3"/>
        <v>214</v>
      </c>
      <c r="P21" s="94">
        <f t="shared" si="4"/>
        <v>1284</v>
      </c>
      <c r="Q21" s="23" t="str">
        <f t="shared" si="5"/>
        <v/>
      </c>
      <c r="R21" s="24">
        <f t="shared" si="6"/>
        <v>6</v>
      </c>
    </row>
    <row r="22" spans="2:18" s="24" customFormat="1" ht="54" x14ac:dyDescent="0.35">
      <c r="B22" s="154" t="s">
        <v>155</v>
      </c>
      <c r="C22" s="22" t="s">
        <v>7</v>
      </c>
      <c r="D22" s="57" t="str">
        <f t="shared" ref="D22" si="14">IFERROR(IF(VLOOKUP(C22,PartnerN°Ref,2,FALSE)=0,"",VLOOKUP(C22,PartnerN°Ref,2,FALSE)),"")</f>
        <v>Universidad Industrial de Santander</v>
      </c>
      <c r="E22" s="57" t="str">
        <f t="shared" ref="E22" si="15">IFERROR(IF(VLOOKUP(C22,PartnerN°Ref,3,FALSE)=0,"",VLOOKUP(C22,PartnerN°Ref,3,FALSE)),"")</f>
        <v>Colombia</v>
      </c>
      <c r="F22" s="174" t="str">
        <f t="shared" ref="F22" si="16">IFERROR(IF(VLOOKUP(C22,PartnerN°Ref,4,FALSE)=0,"",VLOOKUP(C22,PartnerN°Ref,4,FALSE)),"")</f>
        <v>Partner</v>
      </c>
      <c r="G22" s="154" t="s">
        <v>653</v>
      </c>
      <c r="H22" s="154" t="s">
        <v>589</v>
      </c>
      <c r="I22" s="154" t="s">
        <v>126</v>
      </c>
      <c r="J22" s="154" t="s">
        <v>594</v>
      </c>
      <c r="K22" s="154" t="s">
        <v>654</v>
      </c>
      <c r="L22" s="64">
        <v>43955</v>
      </c>
      <c r="M22" s="64">
        <v>44196</v>
      </c>
      <c r="N22" s="25">
        <v>4</v>
      </c>
      <c r="O22" s="93">
        <f t="shared" ref="O22" si="17">IF(Q22="Error",0,IFERROR(INDEX(Rates,MATCH(E22,CountryALL,0),MATCH(I22,Category,0)),0))</f>
        <v>80</v>
      </c>
      <c r="P22" s="94">
        <f t="shared" ref="P22" si="18">IF(Q22="Error",0,R22*O22)</f>
        <v>320</v>
      </c>
      <c r="Q22" s="23" t="str">
        <f t="shared" ref="Q22" si="19">IF(OR(COUNTBLANK(B22:N22)&gt;0,COUNTIF(WorkPackage,B22)=0,COUNTIF(PartnerN°,C22)=0,COUNTIF(CountryALL,E22)=0,COUNTIF(Role_Code,F22)=0,COUNTIF(StaffCat,I22)=0,(M22-L22)&lt;0,ISNUMBER(N22)=FALSE,IF(ISNUMBER(N22)=TRUE,N22=INT(N22*1)/1=FALSE)),"Error","")</f>
        <v/>
      </c>
      <c r="R22" s="24">
        <f t="shared" ref="R22" si="20">IF(N22&gt;(M22-L22)+1,(M22-L22)+1,N22)</f>
        <v>4</v>
      </c>
    </row>
    <row r="23" spans="2:18" s="24" customFormat="1" ht="54" x14ac:dyDescent="0.35">
      <c r="B23" s="154" t="s">
        <v>155</v>
      </c>
      <c r="C23" s="22" t="s">
        <v>7</v>
      </c>
      <c r="D23" s="57" t="str">
        <f t="shared" si="0"/>
        <v>Universidad Industrial de Santander</v>
      </c>
      <c r="E23" s="57" t="str">
        <f t="shared" si="1"/>
        <v>Colombia</v>
      </c>
      <c r="F23" s="174" t="str">
        <f t="shared" si="2"/>
        <v>Partner</v>
      </c>
      <c r="G23" s="154" t="s">
        <v>652</v>
      </c>
      <c r="H23" s="154" t="s">
        <v>570</v>
      </c>
      <c r="I23" s="154" t="s">
        <v>126</v>
      </c>
      <c r="J23" s="154" t="s">
        <v>595</v>
      </c>
      <c r="K23" s="154" t="s">
        <v>634</v>
      </c>
      <c r="L23" s="64">
        <v>43955</v>
      </c>
      <c r="M23" s="64">
        <v>44196</v>
      </c>
      <c r="N23" s="25">
        <v>20</v>
      </c>
      <c r="O23" s="93">
        <f t="shared" si="3"/>
        <v>80</v>
      </c>
      <c r="P23" s="94">
        <f t="shared" si="4"/>
        <v>1600</v>
      </c>
      <c r="Q23" s="23" t="str">
        <f t="shared" si="5"/>
        <v/>
      </c>
      <c r="R23" s="24">
        <f t="shared" si="6"/>
        <v>20</v>
      </c>
    </row>
    <row r="24" spans="2:18" s="24" customFormat="1" ht="54" x14ac:dyDescent="0.35">
      <c r="B24" s="154" t="s">
        <v>155</v>
      </c>
      <c r="C24" s="22" t="s">
        <v>8</v>
      </c>
      <c r="D24" s="57" t="str">
        <f t="shared" si="0"/>
        <v>Universidad Antonio Narino</v>
      </c>
      <c r="E24" s="57" t="str">
        <f t="shared" si="1"/>
        <v>Colombia</v>
      </c>
      <c r="F24" s="174" t="str">
        <f t="shared" si="2"/>
        <v>Partner</v>
      </c>
      <c r="G24" s="154" t="s">
        <v>584</v>
      </c>
      <c r="H24" s="154" t="s">
        <v>581</v>
      </c>
      <c r="I24" s="154" t="s">
        <v>126</v>
      </c>
      <c r="J24" s="154" t="s">
        <v>595</v>
      </c>
      <c r="K24" s="154" t="s">
        <v>616</v>
      </c>
      <c r="L24" s="64">
        <v>43955</v>
      </c>
      <c r="M24" s="64">
        <v>44196</v>
      </c>
      <c r="N24" s="25">
        <v>5</v>
      </c>
      <c r="O24" s="93">
        <f t="shared" si="3"/>
        <v>80</v>
      </c>
      <c r="P24" s="94">
        <f t="shared" si="4"/>
        <v>400</v>
      </c>
      <c r="Q24" s="23" t="str">
        <f t="shared" si="5"/>
        <v/>
      </c>
      <c r="R24" s="24">
        <f t="shared" si="6"/>
        <v>5</v>
      </c>
    </row>
    <row r="25" spans="2:18" s="24" customFormat="1" ht="72" x14ac:dyDescent="0.35">
      <c r="B25" s="154" t="s">
        <v>155</v>
      </c>
      <c r="C25" s="22" t="s">
        <v>9</v>
      </c>
      <c r="D25" s="57" t="str">
        <f t="shared" si="0"/>
        <v>Universidad San Francisco de Quito</v>
      </c>
      <c r="E25" s="57" t="str">
        <f t="shared" si="1"/>
        <v>Ecuador</v>
      </c>
      <c r="F25" s="174" t="str">
        <f t="shared" si="2"/>
        <v>Partner</v>
      </c>
      <c r="G25" s="154" t="s">
        <v>584</v>
      </c>
      <c r="H25" s="154" t="s">
        <v>572</v>
      </c>
      <c r="I25" s="154" t="s">
        <v>127</v>
      </c>
      <c r="J25" s="154" t="s">
        <v>595</v>
      </c>
      <c r="K25" s="154" t="s">
        <v>618</v>
      </c>
      <c r="L25" s="64">
        <v>43955</v>
      </c>
      <c r="M25" s="64">
        <v>44196</v>
      </c>
      <c r="N25" s="25">
        <v>20</v>
      </c>
      <c r="O25" s="93">
        <f t="shared" si="3"/>
        <v>77</v>
      </c>
      <c r="P25" s="94">
        <f t="shared" si="4"/>
        <v>1540</v>
      </c>
      <c r="Q25" s="23" t="str">
        <f t="shared" si="5"/>
        <v/>
      </c>
      <c r="R25" s="24">
        <f t="shared" si="6"/>
        <v>20</v>
      </c>
    </row>
    <row r="26" spans="2:18" s="24" customFormat="1" ht="54" x14ac:dyDescent="0.35">
      <c r="B26" s="154" t="s">
        <v>155</v>
      </c>
      <c r="C26" s="22" t="s">
        <v>10</v>
      </c>
      <c r="D26" s="57" t="str">
        <f t="shared" si="0"/>
        <v>Universidadde Investigacionde Tecnologia Experimental YACHAY</v>
      </c>
      <c r="E26" s="57" t="str">
        <f t="shared" si="1"/>
        <v>Ecuador</v>
      </c>
      <c r="F26" s="174" t="str">
        <f t="shared" si="2"/>
        <v>Partner</v>
      </c>
      <c r="G26" s="154" t="s">
        <v>584</v>
      </c>
      <c r="H26" s="154" t="s">
        <v>582</v>
      </c>
      <c r="I26" s="154" t="s">
        <v>126</v>
      </c>
      <c r="J26" s="154" t="s">
        <v>596</v>
      </c>
      <c r="K26" s="154" t="s">
        <v>616</v>
      </c>
      <c r="L26" s="64">
        <v>43955</v>
      </c>
      <c r="M26" s="64">
        <v>44196</v>
      </c>
      <c r="N26" s="25">
        <v>5</v>
      </c>
      <c r="O26" s="93">
        <f t="shared" si="3"/>
        <v>57</v>
      </c>
      <c r="P26" s="94">
        <f t="shared" si="4"/>
        <v>285</v>
      </c>
      <c r="Q26" s="23" t="str">
        <f t="shared" si="5"/>
        <v/>
      </c>
      <c r="R26" s="24">
        <f t="shared" si="6"/>
        <v>5</v>
      </c>
    </row>
    <row r="27" spans="2:18" s="24" customFormat="1" ht="54" x14ac:dyDescent="0.35">
      <c r="B27" s="154" t="s">
        <v>155</v>
      </c>
      <c r="C27" s="22" t="s">
        <v>10</v>
      </c>
      <c r="D27" s="57" t="str">
        <f t="shared" si="0"/>
        <v>Universidadde Investigacionde Tecnologia Experimental YACHAY</v>
      </c>
      <c r="E27" s="57" t="str">
        <f t="shared" si="1"/>
        <v>Ecuador</v>
      </c>
      <c r="F27" s="174" t="str">
        <f t="shared" si="2"/>
        <v>Partner</v>
      </c>
      <c r="G27" s="154" t="s">
        <v>584</v>
      </c>
      <c r="H27" s="154" t="s">
        <v>583</v>
      </c>
      <c r="I27" s="154" t="s">
        <v>126</v>
      </c>
      <c r="J27" s="154" t="s">
        <v>596</v>
      </c>
      <c r="K27" s="154" t="s">
        <v>616</v>
      </c>
      <c r="L27" s="64">
        <v>43955</v>
      </c>
      <c r="M27" s="64">
        <v>44196</v>
      </c>
      <c r="N27" s="25">
        <v>5</v>
      </c>
      <c r="O27" s="93">
        <f t="shared" si="3"/>
        <v>57</v>
      </c>
      <c r="P27" s="94">
        <f t="shared" si="4"/>
        <v>285</v>
      </c>
      <c r="Q27" s="23" t="str">
        <f t="shared" si="5"/>
        <v/>
      </c>
      <c r="R27" s="24">
        <f t="shared" si="6"/>
        <v>5</v>
      </c>
    </row>
    <row r="28" spans="2:18" s="24" customFormat="1" ht="54" x14ac:dyDescent="0.35">
      <c r="B28" s="154" t="s">
        <v>155</v>
      </c>
      <c r="C28" s="22" t="s">
        <v>11</v>
      </c>
      <c r="D28" s="57" t="str">
        <f t="shared" si="0"/>
        <v>Universidad Nacional Mayor de San Marcos</v>
      </c>
      <c r="E28" s="57" t="str">
        <f t="shared" si="1"/>
        <v>Peru</v>
      </c>
      <c r="F28" s="174" t="str">
        <f t="shared" si="2"/>
        <v>Partner</v>
      </c>
      <c r="G28" s="154" t="s">
        <v>584</v>
      </c>
      <c r="H28" s="154" t="s">
        <v>574</v>
      </c>
      <c r="I28" s="154" t="s">
        <v>126</v>
      </c>
      <c r="J28" s="154" t="s">
        <v>596</v>
      </c>
      <c r="K28" s="154" t="s">
        <v>616</v>
      </c>
      <c r="L28" s="64">
        <v>43955</v>
      </c>
      <c r="M28" s="64">
        <v>44196</v>
      </c>
      <c r="N28" s="25">
        <v>2</v>
      </c>
      <c r="O28" s="93">
        <f t="shared" si="3"/>
        <v>80</v>
      </c>
      <c r="P28" s="94">
        <f t="shared" si="4"/>
        <v>160</v>
      </c>
      <c r="Q28" s="23" t="str">
        <f t="shared" si="5"/>
        <v/>
      </c>
      <c r="R28" s="24">
        <f t="shared" si="6"/>
        <v>2</v>
      </c>
    </row>
    <row r="29" spans="2:18" s="24" customFormat="1" ht="54" x14ac:dyDescent="0.35">
      <c r="B29" s="154" t="s">
        <v>155</v>
      </c>
      <c r="C29" s="22" t="s">
        <v>12</v>
      </c>
      <c r="D29" s="57" t="str">
        <f t="shared" si="0"/>
        <v>Universidad Nacional de Ingenieria</v>
      </c>
      <c r="E29" s="57" t="str">
        <f t="shared" si="1"/>
        <v>Peru</v>
      </c>
      <c r="F29" s="174" t="str">
        <f t="shared" si="2"/>
        <v>Partner</v>
      </c>
      <c r="G29" s="154" t="s">
        <v>584</v>
      </c>
      <c r="H29" s="154" t="s">
        <v>575</v>
      </c>
      <c r="I29" s="154" t="s">
        <v>126</v>
      </c>
      <c r="J29" s="154" t="s">
        <v>596</v>
      </c>
      <c r="K29" s="154" t="s">
        <v>616</v>
      </c>
      <c r="L29" s="64">
        <v>43955</v>
      </c>
      <c r="M29" s="64">
        <v>44196</v>
      </c>
      <c r="N29" s="25">
        <v>5</v>
      </c>
      <c r="O29" s="93">
        <f t="shared" si="3"/>
        <v>80</v>
      </c>
      <c r="P29" s="94">
        <f t="shared" si="4"/>
        <v>400</v>
      </c>
      <c r="Q29" s="23" t="str">
        <f t="shared" si="5"/>
        <v/>
      </c>
      <c r="R29" s="24">
        <f t="shared" si="6"/>
        <v>5</v>
      </c>
    </row>
    <row r="30" spans="2:18" s="24" customFormat="1" ht="54" x14ac:dyDescent="0.35">
      <c r="B30" s="154" t="s">
        <v>155</v>
      </c>
      <c r="C30" s="22" t="s">
        <v>13</v>
      </c>
      <c r="D30" s="57" t="str">
        <f t="shared" si="0"/>
        <v>Universidad Central de Venezuela</v>
      </c>
      <c r="E30" s="57" t="str">
        <f t="shared" si="1"/>
        <v>Venezuela</v>
      </c>
      <c r="F30" s="174" t="str">
        <f t="shared" si="2"/>
        <v>Partner</v>
      </c>
      <c r="G30" s="154" t="s">
        <v>584</v>
      </c>
      <c r="H30" s="154" t="s">
        <v>576</v>
      </c>
      <c r="I30" s="154" t="s">
        <v>126</v>
      </c>
      <c r="J30" s="154" t="s">
        <v>596</v>
      </c>
      <c r="K30" s="154" t="s">
        <v>616</v>
      </c>
      <c r="L30" s="64">
        <v>43955</v>
      </c>
      <c r="M30" s="64">
        <v>44196</v>
      </c>
      <c r="N30" s="25">
        <v>1</v>
      </c>
      <c r="O30" s="93">
        <f t="shared" si="3"/>
        <v>80</v>
      </c>
      <c r="P30" s="94">
        <f t="shared" si="4"/>
        <v>80</v>
      </c>
      <c r="Q30" s="23" t="str">
        <f t="shared" si="5"/>
        <v/>
      </c>
      <c r="R30" s="24">
        <f t="shared" si="6"/>
        <v>1</v>
      </c>
    </row>
    <row r="31" spans="2:18" s="24" customFormat="1" ht="54" x14ac:dyDescent="0.35">
      <c r="B31" s="154" t="s">
        <v>155</v>
      </c>
      <c r="C31" s="22" t="s">
        <v>14</v>
      </c>
      <c r="D31" s="57" t="str">
        <f t="shared" si="0"/>
        <v>Universidad Simon Bolivar</v>
      </c>
      <c r="E31" s="57" t="str">
        <f t="shared" si="1"/>
        <v>Venezuela</v>
      </c>
      <c r="F31" s="174" t="str">
        <f t="shared" si="2"/>
        <v>Partner</v>
      </c>
      <c r="G31" s="154" t="s">
        <v>584</v>
      </c>
      <c r="H31" s="154" t="s">
        <v>567</v>
      </c>
      <c r="I31" s="154" t="s">
        <v>126</v>
      </c>
      <c r="J31" s="154" t="s">
        <v>596</v>
      </c>
      <c r="K31" s="154" t="s">
        <v>616</v>
      </c>
      <c r="L31" s="64">
        <v>43955</v>
      </c>
      <c r="M31" s="64">
        <v>44196</v>
      </c>
      <c r="N31" s="25">
        <v>1</v>
      </c>
      <c r="O31" s="93">
        <f t="shared" si="3"/>
        <v>80</v>
      </c>
      <c r="P31" s="94">
        <f t="shared" si="4"/>
        <v>80</v>
      </c>
      <c r="Q31" s="23" t="str">
        <f t="shared" si="5"/>
        <v/>
      </c>
      <c r="R31" s="24">
        <f t="shared" si="6"/>
        <v>1</v>
      </c>
    </row>
    <row r="32" spans="2:18" s="24" customFormat="1" ht="72" x14ac:dyDescent="0.35">
      <c r="B32" s="154" t="s">
        <v>155</v>
      </c>
      <c r="C32" s="22" t="s">
        <v>6</v>
      </c>
      <c r="D32" s="57" t="str">
        <f t="shared" si="0"/>
        <v>Université de Paris</v>
      </c>
      <c r="E32" s="57" t="str">
        <f t="shared" si="1"/>
        <v>France</v>
      </c>
      <c r="F32" s="174" t="str">
        <f t="shared" si="2"/>
        <v>Coord</v>
      </c>
      <c r="G32" s="154" t="s">
        <v>585</v>
      </c>
      <c r="H32" s="154" t="s">
        <v>569</v>
      </c>
      <c r="I32" s="154" t="s">
        <v>126</v>
      </c>
      <c r="J32" s="154" t="s">
        <v>597</v>
      </c>
      <c r="K32" s="154" t="s">
        <v>619</v>
      </c>
      <c r="L32" s="64">
        <v>43955</v>
      </c>
      <c r="M32" s="64">
        <v>44392</v>
      </c>
      <c r="N32" s="25">
        <v>6</v>
      </c>
      <c r="O32" s="93">
        <f t="shared" si="3"/>
        <v>214</v>
      </c>
      <c r="P32" s="94">
        <f t="shared" si="4"/>
        <v>1284</v>
      </c>
      <c r="Q32" s="23" t="str">
        <f t="shared" si="5"/>
        <v/>
      </c>
      <c r="R32" s="24">
        <f t="shared" si="6"/>
        <v>6</v>
      </c>
    </row>
    <row r="33" spans="2:18" s="24" customFormat="1" ht="72" x14ac:dyDescent="0.35">
      <c r="B33" s="154" t="s">
        <v>155</v>
      </c>
      <c r="C33" s="22" t="s">
        <v>6</v>
      </c>
      <c r="D33" s="57" t="str">
        <f t="shared" si="0"/>
        <v>Université de Paris</v>
      </c>
      <c r="E33" s="57" t="str">
        <f t="shared" si="1"/>
        <v>France</v>
      </c>
      <c r="F33" s="174" t="str">
        <f t="shared" si="2"/>
        <v>Coord</v>
      </c>
      <c r="G33" s="154" t="s">
        <v>585</v>
      </c>
      <c r="H33" s="154" t="s">
        <v>589</v>
      </c>
      <c r="I33" s="154" t="s">
        <v>126</v>
      </c>
      <c r="J33" s="154" t="s">
        <v>597</v>
      </c>
      <c r="K33" s="154" t="s">
        <v>619</v>
      </c>
      <c r="L33" s="64">
        <v>43955</v>
      </c>
      <c r="M33" s="64">
        <v>44392</v>
      </c>
      <c r="N33" s="25">
        <v>4</v>
      </c>
      <c r="O33" s="93">
        <f t="shared" si="3"/>
        <v>214</v>
      </c>
      <c r="P33" s="94">
        <f t="shared" si="4"/>
        <v>856</v>
      </c>
      <c r="Q33" s="23" t="str">
        <f t="shared" si="5"/>
        <v/>
      </c>
      <c r="R33" s="24">
        <f t="shared" si="6"/>
        <v>4</v>
      </c>
    </row>
    <row r="34" spans="2:18" s="24" customFormat="1" ht="72" x14ac:dyDescent="0.35">
      <c r="B34" s="154" t="s">
        <v>155</v>
      </c>
      <c r="C34" s="22" t="s">
        <v>7</v>
      </c>
      <c r="D34" s="57" t="str">
        <f t="shared" si="0"/>
        <v>Universidad Industrial de Santander</v>
      </c>
      <c r="E34" s="57" t="str">
        <f t="shared" si="1"/>
        <v>Colombia</v>
      </c>
      <c r="F34" s="174" t="str">
        <f t="shared" si="2"/>
        <v>Partner</v>
      </c>
      <c r="G34" s="154" t="s">
        <v>585</v>
      </c>
      <c r="H34" s="154" t="s">
        <v>570</v>
      </c>
      <c r="I34" s="154" t="s">
        <v>126</v>
      </c>
      <c r="J34" s="154" t="s">
        <v>597</v>
      </c>
      <c r="K34" s="154" t="s">
        <v>619</v>
      </c>
      <c r="L34" s="64">
        <v>43955</v>
      </c>
      <c r="M34" s="64">
        <v>44392</v>
      </c>
      <c r="N34" s="25">
        <v>10</v>
      </c>
      <c r="O34" s="93">
        <f t="shared" si="3"/>
        <v>80</v>
      </c>
      <c r="P34" s="94">
        <f t="shared" si="4"/>
        <v>800</v>
      </c>
      <c r="Q34" s="23" t="str">
        <f t="shared" si="5"/>
        <v/>
      </c>
      <c r="R34" s="24">
        <f t="shared" si="6"/>
        <v>10</v>
      </c>
    </row>
    <row r="35" spans="2:18" s="24" customFormat="1" ht="72" x14ac:dyDescent="0.35">
      <c r="B35" s="154" t="s">
        <v>155</v>
      </c>
      <c r="C35" s="22" t="s">
        <v>7</v>
      </c>
      <c r="D35" s="57" t="str">
        <f t="shared" si="0"/>
        <v>Universidad Industrial de Santander</v>
      </c>
      <c r="E35" s="57" t="str">
        <f t="shared" si="1"/>
        <v>Colombia</v>
      </c>
      <c r="F35" s="174" t="str">
        <f t="shared" si="2"/>
        <v>Partner</v>
      </c>
      <c r="G35" s="154" t="s">
        <v>585</v>
      </c>
      <c r="H35" s="154" t="s">
        <v>586</v>
      </c>
      <c r="I35" s="154" t="s">
        <v>126</v>
      </c>
      <c r="J35" s="154" t="s">
        <v>597</v>
      </c>
      <c r="K35" s="154" t="s">
        <v>619</v>
      </c>
      <c r="L35" s="64">
        <v>43955</v>
      </c>
      <c r="M35" s="64">
        <v>44392</v>
      </c>
      <c r="N35" s="25">
        <v>10</v>
      </c>
      <c r="O35" s="93">
        <f t="shared" si="3"/>
        <v>80</v>
      </c>
      <c r="P35" s="94">
        <f t="shared" si="4"/>
        <v>800</v>
      </c>
      <c r="Q35" s="23" t="str">
        <f t="shared" si="5"/>
        <v/>
      </c>
      <c r="R35" s="24">
        <f t="shared" si="6"/>
        <v>10</v>
      </c>
    </row>
    <row r="36" spans="2:18" s="24" customFormat="1" ht="54" x14ac:dyDescent="0.35">
      <c r="B36" s="154" t="s">
        <v>155</v>
      </c>
      <c r="C36" s="22" t="s">
        <v>7</v>
      </c>
      <c r="D36" s="57" t="str">
        <f t="shared" si="0"/>
        <v>Universidad Industrial de Santander</v>
      </c>
      <c r="E36" s="57" t="str">
        <f t="shared" si="1"/>
        <v>Colombia</v>
      </c>
      <c r="F36" s="174" t="str">
        <f t="shared" si="2"/>
        <v>Partner</v>
      </c>
      <c r="G36" s="154" t="s">
        <v>585</v>
      </c>
      <c r="H36" s="154" t="s">
        <v>587</v>
      </c>
      <c r="I36" s="154" t="s">
        <v>126</v>
      </c>
      <c r="J36" s="154" t="s">
        <v>597</v>
      </c>
      <c r="K36" s="154" t="s">
        <v>656</v>
      </c>
      <c r="L36" s="64">
        <v>44244</v>
      </c>
      <c r="M36" s="64">
        <v>44392</v>
      </c>
      <c r="N36" s="25">
        <v>25</v>
      </c>
      <c r="O36" s="93">
        <f t="shared" si="3"/>
        <v>80</v>
      </c>
      <c r="P36" s="94">
        <f t="shared" si="4"/>
        <v>2000</v>
      </c>
      <c r="Q36" s="23" t="str">
        <f t="shared" si="5"/>
        <v/>
      </c>
      <c r="R36" s="24">
        <f t="shared" si="6"/>
        <v>25</v>
      </c>
    </row>
    <row r="37" spans="2:18" s="24" customFormat="1" ht="54" x14ac:dyDescent="0.35">
      <c r="B37" s="154" t="s">
        <v>155</v>
      </c>
      <c r="C37" s="22" t="s">
        <v>7</v>
      </c>
      <c r="D37" s="57" t="str">
        <f t="shared" ref="D37" si="21">IFERROR(IF(VLOOKUP(C37,PartnerN°Ref,2,FALSE)=0,"",VLOOKUP(C37,PartnerN°Ref,2,FALSE)),"")</f>
        <v>Universidad Industrial de Santander</v>
      </c>
      <c r="E37" s="57" t="str">
        <f t="shared" ref="E37" si="22">IFERROR(IF(VLOOKUP(C37,PartnerN°Ref,3,FALSE)=0,"",VLOOKUP(C37,PartnerN°Ref,3,FALSE)),"")</f>
        <v>Colombia</v>
      </c>
      <c r="F37" s="174" t="str">
        <f t="shared" ref="F37" si="23">IFERROR(IF(VLOOKUP(C37,PartnerN°Ref,4,FALSE)=0,"",VLOOKUP(C37,PartnerN°Ref,4,FALSE)),"")</f>
        <v>Partner</v>
      </c>
      <c r="G37" s="154" t="s">
        <v>655</v>
      </c>
      <c r="H37" s="154" t="s">
        <v>603</v>
      </c>
      <c r="I37" s="154" t="s">
        <v>126</v>
      </c>
      <c r="J37" s="154" t="s">
        <v>597</v>
      </c>
      <c r="K37" s="154" t="s">
        <v>656</v>
      </c>
      <c r="L37" s="64">
        <v>44216</v>
      </c>
      <c r="M37" s="64">
        <v>44392</v>
      </c>
      <c r="N37" s="25">
        <v>35</v>
      </c>
      <c r="O37" s="93">
        <f t="shared" ref="O37" si="24">IF(Q37="Error",0,IFERROR(INDEX(Rates,MATCH(E37,CountryALL,0),MATCH(I37,Category,0)),0))</f>
        <v>80</v>
      </c>
      <c r="P37" s="94">
        <f t="shared" ref="P37" si="25">IF(Q37="Error",0,R37*O37)</f>
        <v>2800</v>
      </c>
      <c r="Q37" s="23" t="str">
        <f t="shared" ref="Q37" si="26">IF(OR(COUNTBLANK(B37:N37)&gt;0,COUNTIF(WorkPackage,B37)=0,COUNTIF(PartnerN°,C37)=0,COUNTIF(CountryALL,E37)=0,COUNTIF(Role_Code,F37)=0,COUNTIF(StaffCat,I37)=0,(M37-L37)&lt;0,ISNUMBER(N37)=FALSE,IF(ISNUMBER(N37)=TRUE,N37=INT(N37*1)/1=FALSE)),"Error","")</f>
        <v/>
      </c>
      <c r="R37" s="24">
        <f t="shared" ref="R37" si="27">IF(N37&gt;(M37-L37)+1,(M37-L37)+1,N37)</f>
        <v>35</v>
      </c>
    </row>
    <row r="38" spans="2:18" s="24" customFormat="1" ht="90" x14ac:dyDescent="0.35">
      <c r="B38" s="154" t="s">
        <v>155</v>
      </c>
      <c r="C38" s="22" t="s">
        <v>8</v>
      </c>
      <c r="D38" s="57" t="str">
        <f t="shared" si="0"/>
        <v>Universidad Antonio Narino</v>
      </c>
      <c r="E38" s="57" t="str">
        <f t="shared" si="1"/>
        <v>Colombia</v>
      </c>
      <c r="F38" s="174" t="str">
        <f t="shared" si="2"/>
        <v>Partner</v>
      </c>
      <c r="G38" s="154" t="s">
        <v>585</v>
      </c>
      <c r="H38" s="154" t="s">
        <v>571</v>
      </c>
      <c r="I38" s="154" t="s">
        <v>127</v>
      </c>
      <c r="J38" s="154" t="s">
        <v>597</v>
      </c>
      <c r="K38" s="154" t="s">
        <v>620</v>
      </c>
      <c r="L38" s="64">
        <v>43955</v>
      </c>
      <c r="M38" s="64">
        <v>44392</v>
      </c>
      <c r="N38" s="25">
        <v>12</v>
      </c>
      <c r="O38" s="93">
        <f t="shared" si="3"/>
        <v>108</v>
      </c>
      <c r="P38" s="94">
        <f t="shared" si="4"/>
        <v>1296</v>
      </c>
      <c r="Q38" s="23" t="str">
        <f t="shared" si="5"/>
        <v/>
      </c>
      <c r="R38" s="24">
        <f t="shared" si="6"/>
        <v>12</v>
      </c>
    </row>
    <row r="39" spans="2:18" s="24" customFormat="1" ht="54" x14ac:dyDescent="0.35">
      <c r="B39" s="154" t="s">
        <v>155</v>
      </c>
      <c r="C39" s="22" t="s">
        <v>9</v>
      </c>
      <c r="D39" s="57" t="str">
        <f t="shared" si="0"/>
        <v>Universidad San Francisco de Quito</v>
      </c>
      <c r="E39" s="57" t="str">
        <f t="shared" si="1"/>
        <v>Ecuador</v>
      </c>
      <c r="F39" s="174" t="str">
        <f t="shared" si="2"/>
        <v>Partner</v>
      </c>
      <c r="G39" s="154" t="s">
        <v>585</v>
      </c>
      <c r="H39" s="154" t="s">
        <v>572</v>
      </c>
      <c r="I39" s="154" t="s">
        <v>126</v>
      </c>
      <c r="J39" s="154" t="s">
        <v>597</v>
      </c>
      <c r="K39" s="154" t="s">
        <v>621</v>
      </c>
      <c r="L39" s="64">
        <v>43955</v>
      </c>
      <c r="M39" s="64">
        <v>44392</v>
      </c>
      <c r="N39" s="25">
        <v>5</v>
      </c>
      <c r="O39" s="93">
        <f t="shared" si="3"/>
        <v>57</v>
      </c>
      <c r="P39" s="94">
        <f t="shared" si="4"/>
        <v>285</v>
      </c>
      <c r="Q39" s="23" t="str">
        <f t="shared" si="5"/>
        <v/>
      </c>
      <c r="R39" s="24">
        <f t="shared" si="6"/>
        <v>5</v>
      </c>
    </row>
    <row r="40" spans="2:18" s="24" customFormat="1" ht="54" x14ac:dyDescent="0.35">
      <c r="B40" s="154" t="s">
        <v>155</v>
      </c>
      <c r="C40" s="22" t="s">
        <v>10</v>
      </c>
      <c r="D40" s="57" t="str">
        <f t="shared" si="0"/>
        <v>Universidadde Investigacionde Tecnologia Experimental YACHAY</v>
      </c>
      <c r="E40" s="57" t="str">
        <f t="shared" si="1"/>
        <v>Ecuador</v>
      </c>
      <c r="F40" s="174" t="str">
        <f t="shared" si="2"/>
        <v>Partner</v>
      </c>
      <c r="G40" s="154" t="s">
        <v>585</v>
      </c>
      <c r="H40" s="154" t="s">
        <v>573</v>
      </c>
      <c r="I40" s="154" t="s">
        <v>126</v>
      </c>
      <c r="J40" s="154" t="s">
        <v>597</v>
      </c>
      <c r="K40" s="154" t="s">
        <v>621</v>
      </c>
      <c r="L40" s="64">
        <v>43955</v>
      </c>
      <c r="M40" s="64">
        <v>44392</v>
      </c>
      <c r="N40" s="25">
        <v>10</v>
      </c>
      <c r="O40" s="93">
        <f t="shared" si="3"/>
        <v>57</v>
      </c>
      <c r="P40" s="94">
        <f t="shared" si="4"/>
        <v>570</v>
      </c>
      <c r="Q40" s="23" t="str">
        <f t="shared" si="5"/>
        <v/>
      </c>
      <c r="R40" s="24">
        <f t="shared" si="6"/>
        <v>10</v>
      </c>
    </row>
    <row r="41" spans="2:18" s="24" customFormat="1" ht="54" x14ac:dyDescent="0.35">
      <c r="B41" s="154" t="s">
        <v>155</v>
      </c>
      <c r="C41" s="22" t="s">
        <v>10</v>
      </c>
      <c r="D41" s="57" t="str">
        <f t="shared" si="0"/>
        <v>Universidadde Investigacionde Tecnologia Experimental YACHAY</v>
      </c>
      <c r="E41" s="57" t="str">
        <f t="shared" si="1"/>
        <v>Ecuador</v>
      </c>
      <c r="F41" s="174" t="str">
        <f t="shared" si="2"/>
        <v>Partner</v>
      </c>
      <c r="G41" s="154" t="s">
        <v>585</v>
      </c>
      <c r="H41" s="154" t="s">
        <v>583</v>
      </c>
      <c r="I41" s="154" t="s">
        <v>126</v>
      </c>
      <c r="J41" s="154" t="s">
        <v>597</v>
      </c>
      <c r="K41" s="154" t="s">
        <v>621</v>
      </c>
      <c r="L41" s="64">
        <v>43955</v>
      </c>
      <c r="M41" s="64">
        <v>44392</v>
      </c>
      <c r="N41" s="25">
        <v>10</v>
      </c>
      <c r="O41" s="93">
        <f t="shared" si="3"/>
        <v>57</v>
      </c>
      <c r="P41" s="94">
        <f t="shared" si="4"/>
        <v>570</v>
      </c>
      <c r="Q41" s="23" t="str">
        <f t="shared" si="5"/>
        <v/>
      </c>
      <c r="R41" s="24">
        <f t="shared" si="6"/>
        <v>10</v>
      </c>
    </row>
    <row r="42" spans="2:18" s="24" customFormat="1" ht="54" x14ac:dyDescent="0.35">
      <c r="B42" s="154" t="s">
        <v>155</v>
      </c>
      <c r="C42" s="22" t="s">
        <v>11</v>
      </c>
      <c r="D42" s="57" t="str">
        <f t="shared" si="0"/>
        <v>Universidad Nacional Mayor de San Marcos</v>
      </c>
      <c r="E42" s="57" t="str">
        <f t="shared" si="1"/>
        <v>Peru</v>
      </c>
      <c r="F42" s="174" t="str">
        <f t="shared" si="2"/>
        <v>Partner</v>
      </c>
      <c r="G42" s="154" t="s">
        <v>585</v>
      </c>
      <c r="H42" s="154" t="s">
        <v>574</v>
      </c>
      <c r="I42" s="154" t="s">
        <v>126</v>
      </c>
      <c r="J42" s="154" t="s">
        <v>597</v>
      </c>
      <c r="K42" s="154" t="s">
        <v>621</v>
      </c>
      <c r="L42" s="64">
        <v>43955</v>
      </c>
      <c r="M42" s="64">
        <v>44392</v>
      </c>
      <c r="N42" s="25">
        <v>5</v>
      </c>
      <c r="O42" s="93">
        <f t="shared" si="3"/>
        <v>80</v>
      </c>
      <c r="P42" s="94">
        <f t="shared" si="4"/>
        <v>400</v>
      </c>
      <c r="Q42" s="23" t="str">
        <f t="shared" si="5"/>
        <v/>
      </c>
      <c r="R42" s="24">
        <f t="shared" si="6"/>
        <v>5</v>
      </c>
    </row>
    <row r="43" spans="2:18" s="24" customFormat="1" ht="54" x14ac:dyDescent="0.35">
      <c r="B43" s="154" t="s">
        <v>155</v>
      </c>
      <c r="C43" s="22" t="s">
        <v>12</v>
      </c>
      <c r="D43" s="57" t="str">
        <f t="shared" si="0"/>
        <v>Universidad Nacional de Ingenieria</v>
      </c>
      <c r="E43" s="57" t="str">
        <f t="shared" si="1"/>
        <v>Peru</v>
      </c>
      <c r="F43" s="174" t="str">
        <f t="shared" si="2"/>
        <v>Partner</v>
      </c>
      <c r="G43" s="154" t="s">
        <v>585</v>
      </c>
      <c r="H43" s="154" t="s">
        <v>575</v>
      </c>
      <c r="I43" s="154" t="s">
        <v>126</v>
      </c>
      <c r="J43" s="154" t="s">
        <v>597</v>
      </c>
      <c r="K43" s="154" t="s">
        <v>621</v>
      </c>
      <c r="L43" s="64">
        <v>43955</v>
      </c>
      <c r="M43" s="64">
        <v>44392</v>
      </c>
      <c r="N43" s="25">
        <v>6</v>
      </c>
      <c r="O43" s="93">
        <f t="shared" si="3"/>
        <v>80</v>
      </c>
      <c r="P43" s="94">
        <f t="shared" si="4"/>
        <v>480</v>
      </c>
      <c r="Q43" s="23" t="str">
        <f t="shared" si="5"/>
        <v/>
      </c>
      <c r="R43" s="24">
        <f t="shared" si="6"/>
        <v>6</v>
      </c>
    </row>
    <row r="44" spans="2:18" s="24" customFormat="1" ht="54" x14ac:dyDescent="0.35">
      <c r="B44" s="154" t="s">
        <v>155</v>
      </c>
      <c r="C44" s="22" t="s">
        <v>13</v>
      </c>
      <c r="D44" s="57" t="str">
        <f t="shared" ref="D44:D75" si="28">IFERROR(IF(VLOOKUP(C44,PartnerN°Ref,2,FALSE)=0,"",VLOOKUP(C44,PartnerN°Ref,2,FALSE)),"")</f>
        <v>Universidad Central de Venezuela</v>
      </c>
      <c r="E44" s="57" t="str">
        <f t="shared" ref="E44:E78" si="29">IFERROR(IF(VLOOKUP(C44,PartnerN°Ref,3,FALSE)=0,"",VLOOKUP(C44,PartnerN°Ref,3,FALSE)),"")</f>
        <v>Venezuela</v>
      </c>
      <c r="F44" s="174" t="str">
        <f t="shared" ref="F44:F78" si="30">IFERROR(IF(VLOOKUP(C44,PartnerN°Ref,4,FALSE)=0,"",VLOOKUP(C44,PartnerN°Ref,4,FALSE)),"")</f>
        <v>Partner</v>
      </c>
      <c r="G44" s="154" t="s">
        <v>585</v>
      </c>
      <c r="H44" s="154" t="s">
        <v>576</v>
      </c>
      <c r="I44" s="154" t="s">
        <v>126</v>
      </c>
      <c r="J44" s="154" t="s">
        <v>597</v>
      </c>
      <c r="K44" s="154" t="s">
        <v>621</v>
      </c>
      <c r="L44" s="64">
        <v>43955</v>
      </c>
      <c r="M44" s="64">
        <v>44392</v>
      </c>
      <c r="N44" s="25">
        <v>10</v>
      </c>
      <c r="O44" s="93">
        <f t="shared" ref="O44:O78" si="31">IF(Q44="Error",0,IFERROR(INDEX(Rates,MATCH(E44,CountryALL,0),MATCH(I44,Category,0)),0))</f>
        <v>80</v>
      </c>
      <c r="P44" s="94">
        <f t="shared" ref="P44:P75" si="32">IF(Q44="Error",0,R44*O44)</f>
        <v>800</v>
      </c>
      <c r="Q44" s="23" t="str">
        <f t="shared" ref="Q44:Q78" si="33">IF(OR(COUNTBLANK(B44:N44)&gt;0,COUNTIF(WorkPackage,B44)=0,COUNTIF(PartnerN°,C44)=0,COUNTIF(CountryALL,E44)=0,COUNTIF(Role_Code,F44)=0,COUNTIF(StaffCat,I44)=0,(M44-L44)&lt;0,ISNUMBER(N44)=FALSE,IF(ISNUMBER(N44)=TRUE,N44=INT(N44*1)/1=FALSE)),"Error","")</f>
        <v/>
      </c>
      <c r="R44" s="24">
        <f t="shared" ref="R44:R78" si="34">IF(N44&gt;(M44-L44)+1,(M44-L44)+1,N44)</f>
        <v>10</v>
      </c>
    </row>
    <row r="45" spans="2:18" s="24" customFormat="1" ht="54" x14ac:dyDescent="0.35">
      <c r="B45" s="154" t="s">
        <v>155</v>
      </c>
      <c r="C45" s="22" t="s">
        <v>14</v>
      </c>
      <c r="D45" s="57" t="str">
        <f t="shared" si="28"/>
        <v>Universidad Simon Bolivar</v>
      </c>
      <c r="E45" s="57" t="str">
        <f t="shared" si="29"/>
        <v>Venezuela</v>
      </c>
      <c r="F45" s="174" t="str">
        <f t="shared" si="30"/>
        <v>Partner</v>
      </c>
      <c r="G45" s="154" t="s">
        <v>585</v>
      </c>
      <c r="H45" s="154" t="s">
        <v>567</v>
      </c>
      <c r="I45" s="154" t="s">
        <v>126</v>
      </c>
      <c r="J45" s="154" t="s">
        <v>597</v>
      </c>
      <c r="K45" s="154" t="s">
        <v>621</v>
      </c>
      <c r="L45" s="64">
        <v>43955</v>
      </c>
      <c r="M45" s="64">
        <v>44392</v>
      </c>
      <c r="N45" s="25">
        <v>10</v>
      </c>
      <c r="O45" s="93">
        <f t="shared" si="31"/>
        <v>80</v>
      </c>
      <c r="P45" s="94">
        <f t="shared" si="32"/>
        <v>800</v>
      </c>
      <c r="Q45" s="23" t="str">
        <f t="shared" si="33"/>
        <v/>
      </c>
      <c r="R45" s="24">
        <f t="shared" si="34"/>
        <v>10</v>
      </c>
    </row>
    <row r="46" spans="2:18" s="24" customFormat="1" ht="54" x14ac:dyDescent="0.35">
      <c r="B46" s="154" t="s">
        <v>155</v>
      </c>
      <c r="C46" s="22" t="s">
        <v>15</v>
      </c>
      <c r="D46" s="57" t="str">
        <f t="shared" si="28"/>
        <v>Université Paul Sabatier Toulouse III</v>
      </c>
      <c r="E46" s="57" t="str">
        <f t="shared" si="29"/>
        <v>France</v>
      </c>
      <c r="F46" s="174" t="str">
        <f t="shared" si="30"/>
        <v>Partner</v>
      </c>
      <c r="G46" s="154" t="s">
        <v>585</v>
      </c>
      <c r="H46" s="154" t="s">
        <v>577</v>
      </c>
      <c r="I46" s="154" t="s">
        <v>126</v>
      </c>
      <c r="J46" s="154" t="s">
        <v>597</v>
      </c>
      <c r="K46" s="154" t="s">
        <v>621</v>
      </c>
      <c r="L46" s="64">
        <v>43955</v>
      </c>
      <c r="M46" s="64">
        <v>44392</v>
      </c>
      <c r="N46" s="25">
        <v>8</v>
      </c>
      <c r="O46" s="93">
        <f t="shared" si="31"/>
        <v>214</v>
      </c>
      <c r="P46" s="94">
        <f t="shared" si="32"/>
        <v>1712</v>
      </c>
      <c r="Q46" s="23" t="str">
        <f t="shared" si="33"/>
        <v/>
      </c>
      <c r="R46" s="24">
        <f t="shared" si="34"/>
        <v>8</v>
      </c>
    </row>
    <row r="47" spans="2:18" s="24" customFormat="1" ht="36" x14ac:dyDescent="0.35">
      <c r="B47" s="154" t="s">
        <v>155</v>
      </c>
      <c r="C47" s="22" t="s">
        <v>16</v>
      </c>
      <c r="D47" s="57" t="str">
        <f t="shared" si="28"/>
        <v>Technische Universität Dresden</v>
      </c>
      <c r="E47" s="57" t="str">
        <f t="shared" si="29"/>
        <v>Germany</v>
      </c>
      <c r="F47" s="174" t="str">
        <f t="shared" si="30"/>
        <v>Partner</v>
      </c>
      <c r="G47" s="154" t="s">
        <v>585</v>
      </c>
      <c r="H47" s="154" t="s">
        <v>588</v>
      </c>
      <c r="I47" s="154" t="s">
        <v>126</v>
      </c>
      <c r="J47" s="154" t="s">
        <v>597</v>
      </c>
      <c r="K47" s="154" t="s">
        <v>622</v>
      </c>
      <c r="L47" s="64">
        <v>43955</v>
      </c>
      <c r="M47" s="64">
        <v>44392</v>
      </c>
      <c r="N47" s="25">
        <v>7</v>
      </c>
      <c r="O47" s="93">
        <f t="shared" si="31"/>
        <v>214</v>
      </c>
      <c r="P47" s="94">
        <f t="shared" si="32"/>
        <v>1498</v>
      </c>
      <c r="Q47" s="23" t="str">
        <f t="shared" si="33"/>
        <v/>
      </c>
      <c r="R47" s="24">
        <f t="shared" si="34"/>
        <v>7</v>
      </c>
    </row>
    <row r="48" spans="2:18" s="24" customFormat="1" ht="54" x14ac:dyDescent="0.35">
      <c r="B48" s="154" t="s">
        <v>195</v>
      </c>
      <c r="C48" s="22" t="s">
        <v>6</v>
      </c>
      <c r="D48" s="57" t="str">
        <f t="shared" si="28"/>
        <v>Université de Paris</v>
      </c>
      <c r="E48" s="57" t="str">
        <f t="shared" si="29"/>
        <v>France</v>
      </c>
      <c r="F48" s="174" t="str">
        <f t="shared" si="30"/>
        <v>Coord</v>
      </c>
      <c r="G48" s="154" t="s">
        <v>578</v>
      </c>
      <c r="H48" s="154" t="s">
        <v>569</v>
      </c>
      <c r="I48" s="154" t="s">
        <v>126</v>
      </c>
      <c r="J48" s="154" t="s">
        <v>598</v>
      </c>
      <c r="K48" s="154" t="s">
        <v>623</v>
      </c>
      <c r="L48" s="64">
        <v>44075</v>
      </c>
      <c r="M48" s="64">
        <v>44392</v>
      </c>
      <c r="N48" s="25">
        <v>2</v>
      </c>
      <c r="O48" s="93">
        <f t="shared" si="31"/>
        <v>214</v>
      </c>
      <c r="P48" s="94">
        <f t="shared" si="32"/>
        <v>428</v>
      </c>
      <c r="Q48" s="23" t="str">
        <f t="shared" si="33"/>
        <v/>
      </c>
      <c r="R48" s="24">
        <f t="shared" si="34"/>
        <v>2</v>
      </c>
    </row>
    <row r="49" spans="2:18" s="24" customFormat="1" ht="54" x14ac:dyDescent="0.35">
      <c r="B49" s="154" t="s">
        <v>195</v>
      </c>
      <c r="C49" s="22" t="s">
        <v>6</v>
      </c>
      <c r="D49" s="57" t="str">
        <f t="shared" si="28"/>
        <v>Université de Paris</v>
      </c>
      <c r="E49" s="57" t="str">
        <f t="shared" si="29"/>
        <v>France</v>
      </c>
      <c r="F49" s="174" t="str">
        <f t="shared" si="30"/>
        <v>Coord</v>
      </c>
      <c r="G49" s="154" t="s">
        <v>578</v>
      </c>
      <c r="H49" s="154" t="s">
        <v>589</v>
      </c>
      <c r="I49" s="154" t="s">
        <v>126</v>
      </c>
      <c r="J49" s="154" t="s">
        <v>598</v>
      </c>
      <c r="K49" s="154" t="s">
        <v>623</v>
      </c>
      <c r="L49" s="64">
        <v>44075</v>
      </c>
      <c r="M49" s="64">
        <v>44392</v>
      </c>
      <c r="N49" s="25">
        <v>3</v>
      </c>
      <c r="O49" s="93">
        <f t="shared" si="31"/>
        <v>214</v>
      </c>
      <c r="P49" s="94">
        <f t="shared" si="32"/>
        <v>642</v>
      </c>
      <c r="Q49" s="23" t="str">
        <f t="shared" si="33"/>
        <v/>
      </c>
      <c r="R49" s="24">
        <f t="shared" si="34"/>
        <v>3</v>
      </c>
    </row>
    <row r="50" spans="2:18" s="24" customFormat="1" ht="54" x14ac:dyDescent="0.35">
      <c r="B50" s="154" t="s">
        <v>195</v>
      </c>
      <c r="C50" s="22" t="s">
        <v>7</v>
      </c>
      <c r="D50" s="57" t="str">
        <f t="shared" si="28"/>
        <v>Universidad Industrial de Santander</v>
      </c>
      <c r="E50" s="57" t="str">
        <f t="shared" si="29"/>
        <v>Colombia</v>
      </c>
      <c r="F50" s="174" t="str">
        <f t="shared" si="30"/>
        <v>Partner</v>
      </c>
      <c r="G50" s="154" t="s">
        <v>578</v>
      </c>
      <c r="H50" s="154" t="s">
        <v>570</v>
      </c>
      <c r="I50" s="154" t="s">
        <v>126</v>
      </c>
      <c r="J50" s="154" t="s">
        <v>598</v>
      </c>
      <c r="K50" s="154" t="s">
        <v>623</v>
      </c>
      <c r="L50" s="64">
        <v>44075</v>
      </c>
      <c r="M50" s="64">
        <v>44392</v>
      </c>
      <c r="N50" s="25">
        <v>10</v>
      </c>
      <c r="O50" s="93">
        <f t="shared" si="31"/>
        <v>80</v>
      </c>
      <c r="P50" s="94">
        <f t="shared" si="32"/>
        <v>800</v>
      </c>
      <c r="Q50" s="23" t="str">
        <f t="shared" si="33"/>
        <v/>
      </c>
      <c r="R50" s="24">
        <f t="shared" si="34"/>
        <v>10</v>
      </c>
    </row>
    <row r="51" spans="2:18" s="24" customFormat="1" ht="54" x14ac:dyDescent="0.35">
      <c r="B51" s="154" t="s">
        <v>195</v>
      </c>
      <c r="C51" s="22" t="s">
        <v>10</v>
      </c>
      <c r="D51" s="57" t="str">
        <f t="shared" si="28"/>
        <v>Universidadde Investigacionde Tecnologia Experimental YACHAY</v>
      </c>
      <c r="E51" s="57" t="str">
        <f t="shared" si="29"/>
        <v>Ecuador</v>
      </c>
      <c r="F51" s="174" t="str">
        <f t="shared" si="30"/>
        <v>Partner</v>
      </c>
      <c r="G51" s="154" t="s">
        <v>578</v>
      </c>
      <c r="H51" s="154" t="s">
        <v>573</v>
      </c>
      <c r="I51" s="154" t="s">
        <v>126</v>
      </c>
      <c r="J51" s="154" t="s">
        <v>599</v>
      </c>
      <c r="K51" s="154" t="s">
        <v>623</v>
      </c>
      <c r="L51" s="64">
        <v>44075</v>
      </c>
      <c r="M51" s="64">
        <v>44392</v>
      </c>
      <c r="N51" s="25">
        <v>2</v>
      </c>
      <c r="O51" s="93">
        <f t="shared" si="31"/>
        <v>57</v>
      </c>
      <c r="P51" s="94">
        <f t="shared" si="32"/>
        <v>114</v>
      </c>
      <c r="Q51" s="23" t="str">
        <f t="shared" si="33"/>
        <v/>
      </c>
      <c r="R51" s="24">
        <f t="shared" si="34"/>
        <v>2</v>
      </c>
    </row>
    <row r="52" spans="2:18" s="24" customFormat="1" ht="54" x14ac:dyDescent="0.35">
      <c r="B52" s="154" t="s">
        <v>195</v>
      </c>
      <c r="C52" s="22" t="s">
        <v>10</v>
      </c>
      <c r="D52" s="57" t="str">
        <f t="shared" si="28"/>
        <v>Universidadde Investigacionde Tecnologia Experimental YACHAY</v>
      </c>
      <c r="E52" s="57" t="str">
        <f t="shared" si="29"/>
        <v>Ecuador</v>
      </c>
      <c r="F52" s="174" t="str">
        <f t="shared" si="30"/>
        <v>Partner</v>
      </c>
      <c r="G52" s="154" t="s">
        <v>578</v>
      </c>
      <c r="H52" s="154" t="s">
        <v>582</v>
      </c>
      <c r="I52" s="154" t="s">
        <v>126</v>
      </c>
      <c r="J52" s="154" t="s">
        <v>599</v>
      </c>
      <c r="K52" s="154" t="s">
        <v>623</v>
      </c>
      <c r="L52" s="64">
        <v>44075</v>
      </c>
      <c r="M52" s="64">
        <v>44392</v>
      </c>
      <c r="N52" s="25">
        <v>2</v>
      </c>
      <c r="O52" s="93">
        <f t="shared" si="31"/>
        <v>57</v>
      </c>
      <c r="P52" s="94">
        <f t="shared" si="32"/>
        <v>114</v>
      </c>
      <c r="Q52" s="23" t="str">
        <f t="shared" si="33"/>
        <v/>
      </c>
      <c r="R52" s="24">
        <f t="shared" si="34"/>
        <v>2</v>
      </c>
    </row>
    <row r="53" spans="2:18" s="24" customFormat="1" ht="54" x14ac:dyDescent="0.35">
      <c r="B53" s="154" t="s">
        <v>195</v>
      </c>
      <c r="C53" s="22" t="s">
        <v>10</v>
      </c>
      <c r="D53" s="57" t="str">
        <f t="shared" si="28"/>
        <v>Universidadde Investigacionde Tecnologia Experimental YACHAY</v>
      </c>
      <c r="E53" s="57" t="str">
        <f t="shared" si="29"/>
        <v>Ecuador</v>
      </c>
      <c r="F53" s="174" t="str">
        <f t="shared" si="30"/>
        <v>Partner</v>
      </c>
      <c r="G53" s="154" t="s">
        <v>578</v>
      </c>
      <c r="H53" s="154" t="s">
        <v>583</v>
      </c>
      <c r="I53" s="154" t="s">
        <v>126</v>
      </c>
      <c r="J53" s="154" t="s">
        <v>599</v>
      </c>
      <c r="K53" s="154" t="s">
        <v>623</v>
      </c>
      <c r="L53" s="64">
        <v>44075</v>
      </c>
      <c r="M53" s="64">
        <v>44392</v>
      </c>
      <c r="N53" s="25">
        <v>2</v>
      </c>
      <c r="O53" s="93">
        <f t="shared" si="31"/>
        <v>57</v>
      </c>
      <c r="P53" s="94">
        <f t="shared" si="32"/>
        <v>114</v>
      </c>
      <c r="Q53" s="23" t="str">
        <f t="shared" si="33"/>
        <v/>
      </c>
      <c r="R53" s="24">
        <f t="shared" si="34"/>
        <v>2</v>
      </c>
    </row>
    <row r="54" spans="2:18" s="24" customFormat="1" ht="54" x14ac:dyDescent="0.35">
      <c r="B54" s="154" t="s">
        <v>195</v>
      </c>
      <c r="C54" s="22" t="s">
        <v>11</v>
      </c>
      <c r="D54" s="57" t="str">
        <f t="shared" si="28"/>
        <v>Universidad Nacional Mayor de San Marcos</v>
      </c>
      <c r="E54" s="57" t="str">
        <f t="shared" si="29"/>
        <v>Peru</v>
      </c>
      <c r="F54" s="174" t="str">
        <f t="shared" si="30"/>
        <v>Partner</v>
      </c>
      <c r="G54" s="154" t="s">
        <v>578</v>
      </c>
      <c r="H54" s="154" t="s">
        <v>574</v>
      </c>
      <c r="I54" s="154" t="s">
        <v>126</v>
      </c>
      <c r="J54" s="154" t="s">
        <v>599</v>
      </c>
      <c r="K54" s="154" t="s">
        <v>623</v>
      </c>
      <c r="L54" s="64">
        <v>44075</v>
      </c>
      <c r="M54" s="64">
        <v>44392</v>
      </c>
      <c r="N54" s="25">
        <v>4</v>
      </c>
      <c r="O54" s="93">
        <f t="shared" si="31"/>
        <v>80</v>
      </c>
      <c r="P54" s="94">
        <f t="shared" si="32"/>
        <v>320</v>
      </c>
      <c r="Q54" s="23" t="str">
        <f t="shared" si="33"/>
        <v/>
      </c>
      <c r="R54" s="24">
        <f t="shared" si="34"/>
        <v>4</v>
      </c>
    </row>
    <row r="55" spans="2:18" s="24" customFormat="1" ht="54" x14ac:dyDescent="0.35">
      <c r="B55" s="154" t="s">
        <v>195</v>
      </c>
      <c r="C55" s="22" t="s">
        <v>12</v>
      </c>
      <c r="D55" s="57" t="str">
        <f t="shared" si="28"/>
        <v>Universidad Nacional de Ingenieria</v>
      </c>
      <c r="E55" s="57" t="str">
        <f t="shared" si="29"/>
        <v>Peru</v>
      </c>
      <c r="F55" s="174" t="str">
        <f t="shared" si="30"/>
        <v>Partner</v>
      </c>
      <c r="G55" s="154" t="s">
        <v>578</v>
      </c>
      <c r="H55" s="154" t="s">
        <v>575</v>
      </c>
      <c r="I55" s="154" t="s">
        <v>126</v>
      </c>
      <c r="J55" s="154" t="s">
        <v>599</v>
      </c>
      <c r="K55" s="154" t="s">
        <v>623</v>
      </c>
      <c r="L55" s="64">
        <v>44075</v>
      </c>
      <c r="M55" s="64">
        <v>44392</v>
      </c>
      <c r="N55" s="25">
        <v>6</v>
      </c>
      <c r="O55" s="93">
        <f t="shared" si="31"/>
        <v>80</v>
      </c>
      <c r="P55" s="94">
        <f t="shared" si="32"/>
        <v>480</v>
      </c>
      <c r="Q55" s="23" t="str">
        <f t="shared" si="33"/>
        <v/>
      </c>
      <c r="R55" s="24">
        <f t="shared" si="34"/>
        <v>6</v>
      </c>
    </row>
    <row r="56" spans="2:18" s="24" customFormat="1" ht="54" x14ac:dyDescent="0.35">
      <c r="B56" s="154" t="s">
        <v>195</v>
      </c>
      <c r="C56" s="22" t="s">
        <v>13</v>
      </c>
      <c r="D56" s="57" t="str">
        <f t="shared" si="28"/>
        <v>Universidad Central de Venezuela</v>
      </c>
      <c r="E56" s="57" t="str">
        <f t="shared" si="29"/>
        <v>Venezuela</v>
      </c>
      <c r="F56" s="174" t="str">
        <f t="shared" si="30"/>
        <v>Partner</v>
      </c>
      <c r="G56" s="154" t="s">
        <v>578</v>
      </c>
      <c r="H56" s="154" t="s">
        <v>576</v>
      </c>
      <c r="I56" s="154" t="s">
        <v>126</v>
      </c>
      <c r="J56" s="154" t="s">
        <v>599</v>
      </c>
      <c r="K56" s="154" t="s">
        <v>623</v>
      </c>
      <c r="L56" s="64">
        <v>44075</v>
      </c>
      <c r="M56" s="64">
        <v>44392</v>
      </c>
      <c r="N56" s="25">
        <v>5</v>
      </c>
      <c r="O56" s="93">
        <f t="shared" si="31"/>
        <v>80</v>
      </c>
      <c r="P56" s="94">
        <f t="shared" si="32"/>
        <v>400</v>
      </c>
      <c r="Q56" s="23" t="str">
        <f t="shared" si="33"/>
        <v/>
      </c>
      <c r="R56" s="24">
        <f t="shared" si="34"/>
        <v>5</v>
      </c>
    </row>
    <row r="57" spans="2:18" s="24" customFormat="1" ht="54" x14ac:dyDescent="0.35">
      <c r="B57" s="154" t="s">
        <v>195</v>
      </c>
      <c r="C57" s="22" t="s">
        <v>14</v>
      </c>
      <c r="D57" s="57" t="str">
        <f t="shared" si="28"/>
        <v>Universidad Simon Bolivar</v>
      </c>
      <c r="E57" s="57" t="str">
        <f t="shared" si="29"/>
        <v>Venezuela</v>
      </c>
      <c r="F57" s="174" t="str">
        <f t="shared" si="30"/>
        <v>Partner</v>
      </c>
      <c r="G57" s="154" t="s">
        <v>578</v>
      </c>
      <c r="H57" s="154" t="s">
        <v>567</v>
      </c>
      <c r="I57" s="154" t="s">
        <v>126</v>
      </c>
      <c r="J57" s="154" t="s">
        <v>599</v>
      </c>
      <c r="K57" s="154" t="s">
        <v>623</v>
      </c>
      <c r="L57" s="64">
        <v>44075</v>
      </c>
      <c r="M57" s="64">
        <v>44392</v>
      </c>
      <c r="N57" s="25">
        <v>5</v>
      </c>
      <c r="O57" s="93">
        <f t="shared" si="31"/>
        <v>80</v>
      </c>
      <c r="P57" s="94">
        <f t="shared" si="32"/>
        <v>400</v>
      </c>
      <c r="Q57" s="23" t="str">
        <f t="shared" si="33"/>
        <v/>
      </c>
      <c r="R57" s="24">
        <f t="shared" si="34"/>
        <v>5</v>
      </c>
    </row>
    <row r="58" spans="2:18" s="24" customFormat="1" ht="72" x14ac:dyDescent="0.35">
      <c r="B58" s="154" t="s">
        <v>195</v>
      </c>
      <c r="C58" s="22" t="s">
        <v>15</v>
      </c>
      <c r="D58" s="57" t="str">
        <f t="shared" si="28"/>
        <v>Université Paul Sabatier Toulouse III</v>
      </c>
      <c r="E58" s="57" t="str">
        <f t="shared" si="29"/>
        <v>France</v>
      </c>
      <c r="F58" s="174" t="str">
        <f t="shared" si="30"/>
        <v>Partner</v>
      </c>
      <c r="G58" s="154" t="s">
        <v>578</v>
      </c>
      <c r="H58" s="154" t="s">
        <v>577</v>
      </c>
      <c r="I58" s="154" t="s">
        <v>127</v>
      </c>
      <c r="J58" s="154" t="s">
        <v>624</v>
      </c>
      <c r="K58" s="154" t="s">
        <v>625</v>
      </c>
      <c r="L58" s="64">
        <v>44075</v>
      </c>
      <c r="M58" s="64">
        <v>44392</v>
      </c>
      <c r="N58" s="25">
        <v>12</v>
      </c>
      <c r="O58" s="93">
        <f t="shared" si="31"/>
        <v>280</v>
      </c>
      <c r="P58" s="94">
        <f t="shared" si="32"/>
        <v>3360</v>
      </c>
      <c r="Q58" s="23" t="str">
        <f t="shared" si="33"/>
        <v/>
      </c>
      <c r="R58" s="24">
        <f t="shared" si="34"/>
        <v>12</v>
      </c>
    </row>
    <row r="59" spans="2:18" s="24" customFormat="1" ht="54" x14ac:dyDescent="0.35">
      <c r="B59" s="154" t="s">
        <v>195</v>
      </c>
      <c r="C59" s="22" t="s">
        <v>16</v>
      </c>
      <c r="D59" s="57" t="str">
        <f t="shared" si="28"/>
        <v>Technische Universität Dresden</v>
      </c>
      <c r="E59" s="57" t="str">
        <f t="shared" si="29"/>
        <v>Germany</v>
      </c>
      <c r="F59" s="174" t="str">
        <f t="shared" si="30"/>
        <v>Partner</v>
      </c>
      <c r="G59" s="154" t="s">
        <v>578</v>
      </c>
      <c r="H59" s="154" t="s">
        <v>588</v>
      </c>
      <c r="I59" s="154" t="s">
        <v>126</v>
      </c>
      <c r="J59" s="154" t="s">
        <v>599</v>
      </c>
      <c r="K59" s="154" t="s">
        <v>623</v>
      </c>
      <c r="L59" s="64">
        <v>44075</v>
      </c>
      <c r="M59" s="64">
        <v>44392</v>
      </c>
      <c r="N59" s="25">
        <v>2</v>
      </c>
      <c r="O59" s="93">
        <f t="shared" si="31"/>
        <v>214</v>
      </c>
      <c r="P59" s="94">
        <f t="shared" si="32"/>
        <v>428</v>
      </c>
      <c r="Q59" s="23" t="str">
        <f t="shared" si="33"/>
        <v/>
      </c>
      <c r="R59" s="24">
        <f t="shared" si="34"/>
        <v>2</v>
      </c>
    </row>
    <row r="60" spans="2:18" s="24" customFormat="1" ht="90" x14ac:dyDescent="0.35">
      <c r="B60" s="154" t="s">
        <v>196</v>
      </c>
      <c r="C60" s="22" t="s">
        <v>6</v>
      </c>
      <c r="D60" s="57" t="str">
        <f t="shared" si="28"/>
        <v>Université de Paris</v>
      </c>
      <c r="E60" s="57" t="str">
        <f t="shared" si="29"/>
        <v>France</v>
      </c>
      <c r="F60" s="174" t="str">
        <f t="shared" si="30"/>
        <v>Coord</v>
      </c>
      <c r="G60" s="154" t="s">
        <v>578</v>
      </c>
      <c r="H60" s="154" t="s">
        <v>569</v>
      </c>
      <c r="I60" s="154" t="s">
        <v>126</v>
      </c>
      <c r="J60" s="154" t="s">
        <v>600</v>
      </c>
      <c r="K60" s="154" t="s">
        <v>626</v>
      </c>
      <c r="L60" s="64">
        <v>43845</v>
      </c>
      <c r="M60" s="64">
        <v>44392</v>
      </c>
      <c r="N60" s="25">
        <v>6</v>
      </c>
      <c r="O60" s="93">
        <f t="shared" si="31"/>
        <v>214</v>
      </c>
      <c r="P60" s="94">
        <f t="shared" si="32"/>
        <v>1284</v>
      </c>
      <c r="Q60" s="23" t="str">
        <f t="shared" si="33"/>
        <v/>
      </c>
      <c r="R60" s="24">
        <f t="shared" si="34"/>
        <v>6</v>
      </c>
    </row>
    <row r="61" spans="2:18" s="24" customFormat="1" ht="90" x14ac:dyDescent="0.35">
      <c r="B61" s="154" t="s">
        <v>196</v>
      </c>
      <c r="C61" s="22" t="s">
        <v>6</v>
      </c>
      <c r="D61" s="57" t="str">
        <f t="shared" si="28"/>
        <v>Université de Paris</v>
      </c>
      <c r="E61" s="57" t="str">
        <f t="shared" si="29"/>
        <v>France</v>
      </c>
      <c r="F61" s="174" t="str">
        <f t="shared" si="30"/>
        <v>Coord</v>
      </c>
      <c r="G61" s="154" t="s">
        <v>578</v>
      </c>
      <c r="H61" s="154" t="s">
        <v>589</v>
      </c>
      <c r="I61" s="154" t="s">
        <v>126</v>
      </c>
      <c r="J61" s="154" t="s">
        <v>600</v>
      </c>
      <c r="K61" s="154" t="s">
        <v>657</v>
      </c>
      <c r="L61" s="64">
        <v>43845</v>
      </c>
      <c r="M61" s="64">
        <v>44392</v>
      </c>
      <c r="N61" s="25">
        <v>10</v>
      </c>
      <c r="O61" s="93">
        <f t="shared" si="31"/>
        <v>214</v>
      </c>
      <c r="P61" s="94">
        <f t="shared" si="32"/>
        <v>2140</v>
      </c>
      <c r="Q61" s="23" t="str">
        <f t="shared" si="33"/>
        <v/>
      </c>
      <c r="R61" s="24">
        <f t="shared" si="34"/>
        <v>10</v>
      </c>
    </row>
    <row r="62" spans="2:18" s="24" customFormat="1" ht="90" x14ac:dyDescent="0.35">
      <c r="B62" s="154" t="s">
        <v>196</v>
      </c>
      <c r="C62" s="22" t="s">
        <v>7</v>
      </c>
      <c r="D62" s="57" t="str">
        <f t="shared" si="28"/>
        <v>Universidad Industrial de Santander</v>
      </c>
      <c r="E62" s="57" t="str">
        <f t="shared" si="29"/>
        <v>Colombia</v>
      </c>
      <c r="F62" s="174" t="str">
        <f t="shared" si="30"/>
        <v>Partner</v>
      </c>
      <c r="G62" s="154" t="s">
        <v>578</v>
      </c>
      <c r="H62" s="154" t="s">
        <v>570</v>
      </c>
      <c r="I62" s="154" t="s">
        <v>126</v>
      </c>
      <c r="J62" s="154" t="s">
        <v>600</v>
      </c>
      <c r="K62" s="154" t="s">
        <v>627</v>
      </c>
      <c r="L62" s="64">
        <v>43845</v>
      </c>
      <c r="M62" s="64">
        <v>44392</v>
      </c>
      <c r="N62" s="25">
        <v>15</v>
      </c>
      <c r="O62" s="93">
        <f t="shared" si="31"/>
        <v>80</v>
      </c>
      <c r="P62" s="94">
        <f t="shared" si="32"/>
        <v>1200</v>
      </c>
      <c r="Q62" s="23" t="str">
        <f t="shared" si="33"/>
        <v/>
      </c>
      <c r="R62" s="24">
        <f t="shared" si="34"/>
        <v>15</v>
      </c>
    </row>
    <row r="63" spans="2:18" s="24" customFormat="1" ht="72" x14ac:dyDescent="0.35">
      <c r="B63" s="154" t="s">
        <v>196</v>
      </c>
      <c r="C63" s="22" t="s">
        <v>7</v>
      </c>
      <c r="D63" s="57" t="str">
        <f t="shared" si="28"/>
        <v>Universidad Industrial de Santander</v>
      </c>
      <c r="E63" s="57" t="str">
        <f t="shared" si="29"/>
        <v>Colombia</v>
      </c>
      <c r="F63" s="174" t="str">
        <f t="shared" si="30"/>
        <v>Partner</v>
      </c>
      <c r="G63" s="154" t="s">
        <v>578</v>
      </c>
      <c r="H63" s="154" t="s">
        <v>587</v>
      </c>
      <c r="I63" s="154" t="s">
        <v>126</v>
      </c>
      <c r="J63" s="154" t="s">
        <v>601</v>
      </c>
      <c r="K63" s="154" t="s">
        <v>628</v>
      </c>
      <c r="L63" s="64">
        <v>44244</v>
      </c>
      <c r="M63" s="64">
        <v>44392</v>
      </c>
      <c r="N63" s="25">
        <v>10</v>
      </c>
      <c r="O63" s="93">
        <f t="shared" si="31"/>
        <v>80</v>
      </c>
      <c r="P63" s="94">
        <f t="shared" si="32"/>
        <v>800</v>
      </c>
      <c r="Q63" s="23" t="str">
        <f t="shared" si="33"/>
        <v/>
      </c>
      <c r="R63" s="24">
        <f t="shared" si="34"/>
        <v>10</v>
      </c>
    </row>
    <row r="64" spans="2:18" s="24" customFormat="1" ht="90" x14ac:dyDescent="0.35">
      <c r="B64" s="154" t="s">
        <v>196</v>
      </c>
      <c r="C64" s="22" t="s">
        <v>8</v>
      </c>
      <c r="D64" s="57" t="str">
        <f t="shared" si="28"/>
        <v>Universidad Antonio Narino</v>
      </c>
      <c r="E64" s="57" t="str">
        <f t="shared" si="29"/>
        <v>Colombia</v>
      </c>
      <c r="F64" s="174" t="str">
        <f t="shared" si="30"/>
        <v>Partner</v>
      </c>
      <c r="G64" s="154" t="s">
        <v>578</v>
      </c>
      <c r="H64" s="154" t="s">
        <v>571</v>
      </c>
      <c r="I64" s="154" t="s">
        <v>126</v>
      </c>
      <c r="J64" s="154" t="s">
        <v>602</v>
      </c>
      <c r="K64" s="154" t="s">
        <v>626</v>
      </c>
      <c r="L64" s="64">
        <v>43845</v>
      </c>
      <c r="M64" s="64">
        <v>44392</v>
      </c>
      <c r="N64" s="25">
        <v>4</v>
      </c>
      <c r="O64" s="93">
        <f t="shared" si="31"/>
        <v>80</v>
      </c>
      <c r="P64" s="94">
        <f t="shared" si="32"/>
        <v>320</v>
      </c>
      <c r="Q64" s="23" t="str">
        <f t="shared" si="33"/>
        <v/>
      </c>
      <c r="R64" s="24">
        <f t="shared" si="34"/>
        <v>4</v>
      </c>
    </row>
    <row r="65" spans="2:18" s="24" customFormat="1" ht="90" x14ac:dyDescent="0.35">
      <c r="B65" s="154" t="s">
        <v>196</v>
      </c>
      <c r="C65" s="22" t="s">
        <v>8</v>
      </c>
      <c r="D65" s="57" t="str">
        <f t="shared" si="28"/>
        <v>Universidad Antonio Narino</v>
      </c>
      <c r="E65" s="57" t="str">
        <f t="shared" si="29"/>
        <v>Colombia</v>
      </c>
      <c r="F65" s="174" t="str">
        <f t="shared" si="30"/>
        <v>Partner</v>
      </c>
      <c r="G65" s="154" t="s">
        <v>578</v>
      </c>
      <c r="H65" s="154" t="s">
        <v>581</v>
      </c>
      <c r="I65" s="154" t="s">
        <v>126</v>
      </c>
      <c r="J65" s="154" t="s">
        <v>602</v>
      </c>
      <c r="K65" s="154" t="s">
        <v>626</v>
      </c>
      <c r="L65" s="64">
        <v>43845</v>
      </c>
      <c r="M65" s="64">
        <v>44392</v>
      </c>
      <c r="N65" s="25">
        <v>4</v>
      </c>
      <c r="O65" s="93">
        <f t="shared" si="31"/>
        <v>80</v>
      </c>
      <c r="P65" s="94">
        <f t="shared" si="32"/>
        <v>320</v>
      </c>
      <c r="Q65" s="23" t="str">
        <f t="shared" si="33"/>
        <v/>
      </c>
      <c r="R65" s="24">
        <f t="shared" si="34"/>
        <v>4</v>
      </c>
    </row>
    <row r="66" spans="2:18" s="24" customFormat="1" ht="90" x14ac:dyDescent="0.35">
      <c r="B66" s="154" t="s">
        <v>196</v>
      </c>
      <c r="C66" s="22" t="s">
        <v>9</v>
      </c>
      <c r="D66" s="57" t="str">
        <f t="shared" si="28"/>
        <v>Universidad San Francisco de Quito</v>
      </c>
      <c r="E66" s="57" t="str">
        <f t="shared" si="29"/>
        <v>Ecuador</v>
      </c>
      <c r="F66" s="174" t="str">
        <f t="shared" si="30"/>
        <v>Partner</v>
      </c>
      <c r="G66" s="154" t="s">
        <v>578</v>
      </c>
      <c r="H66" s="154" t="s">
        <v>572</v>
      </c>
      <c r="I66" s="154" t="s">
        <v>126</v>
      </c>
      <c r="J66" s="154" t="s">
        <v>602</v>
      </c>
      <c r="K66" s="154" t="s">
        <v>626</v>
      </c>
      <c r="L66" s="64">
        <v>43845</v>
      </c>
      <c r="M66" s="64">
        <v>44392</v>
      </c>
      <c r="N66" s="25">
        <v>5</v>
      </c>
      <c r="O66" s="93">
        <f t="shared" si="31"/>
        <v>57</v>
      </c>
      <c r="P66" s="94">
        <f t="shared" si="32"/>
        <v>285</v>
      </c>
      <c r="Q66" s="23" t="str">
        <f t="shared" si="33"/>
        <v/>
      </c>
      <c r="R66" s="24">
        <f t="shared" si="34"/>
        <v>5</v>
      </c>
    </row>
    <row r="67" spans="2:18" s="24" customFormat="1" ht="90" x14ac:dyDescent="0.35">
      <c r="B67" s="154" t="s">
        <v>196</v>
      </c>
      <c r="C67" s="22" t="s">
        <v>10</v>
      </c>
      <c r="D67" s="57" t="str">
        <f t="shared" si="28"/>
        <v>Universidadde Investigacionde Tecnologia Experimental YACHAY</v>
      </c>
      <c r="E67" s="57" t="str">
        <f t="shared" si="29"/>
        <v>Ecuador</v>
      </c>
      <c r="F67" s="174" t="str">
        <f t="shared" si="30"/>
        <v>Partner</v>
      </c>
      <c r="G67" s="154" t="s">
        <v>578</v>
      </c>
      <c r="H67" s="154" t="s">
        <v>573</v>
      </c>
      <c r="I67" s="154" t="s">
        <v>126</v>
      </c>
      <c r="J67" s="154" t="s">
        <v>604</v>
      </c>
      <c r="K67" s="154" t="s">
        <v>626</v>
      </c>
      <c r="L67" s="64">
        <v>43845</v>
      </c>
      <c r="M67" s="64">
        <v>44392</v>
      </c>
      <c r="N67" s="25">
        <v>5</v>
      </c>
      <c r="O67" s="93">
        <f t="shared" si="31"/>
        <v>57</v>
      </c>
      <c r="P67" s="94">
        <f t="shared" si="32"/>
        <v>285</v>
      </c>
      <c r="Q67" s="23" t="str">
        <f t="shared" si="33"/>
        <v/>
      </c>
      <c r="R67" s="24">
        <f t="shared" si="34"/>
        <v>5</v>
      </c>
    </row>
    <row r="68" spans="2:18" s="24" customFormat="1" ht="90" x14ac:dyDescent="0.35">
      <c r="B68" s="154" t="s">
        <v>196</v>
      </c>
      <c r="C68" s="22" t="s">
        <v>10</v>
      </c>
      <c r="D68" s="57" t="str">
        <f t="shared" si="28"/>
        <v>Universidadde Investigacionde Tecnologia Experimental YACHAY</v>
      </c>
      <c r="E68" s="57" t="str">
        <f t="shared" si="29"/>
        <v>Ecuador</v>
      </c>
      <c r="F68" s="174" t="str">
        <f t="shared" si="30"/>
        <v>Partner</v>
      </c>
      <c r="G68" s="154" t="s">
        <v>578</v>
      </c>
      <c r="H68" s="154" t="s">
        <v>583</v>
      </c>
      <c r="I68" s="154" t="s">
        <v>126</v>
      </c>
      <c r="J68" s="154" t="s">
        <v>604</v>
      </c>
      <c r="K68" s="154" t="s">
        <v>626</v>
      </c>
      <c r="L68" s="64">
        <v>43845</v>
      </c>
      <c r="M68" s="64">
        <v>44392</v>
      </c>
      <c r="N68" s="25">
        <v>5</v>
      </c>
      <c r="O68" s="93">
        <f t="shared" si="31"/>
        <v>57</v>
      </c>
      <c r="P68" s="94">
        <f t="shared" si="32"/>
        <v>285</v>
      </c>
      <c r="Q68" s="23" t="str">
        <f t="shared" si="33"/>
        <v/>
      </c>
      <c r="R68" s="24">
        <f t="shared" si="34"/>
        <v>5</v>
      </c>
    </row>
    <row r="69" spans="2:18" s="24" customFormat="1" ht="90" x14ac:dyDescent="0.35">
      <c r="B69" s="154" t="s">
        <v>196</v>
      </c>
      <c r="C69" s="22" t="s">
        <v>11</v>
      </c>
      <c r="D69" s="57" t="str">
        <f t="shared" si="28"/>
        <v>Universidad Nacional Mayor de San Marcos</v>
      </c>
      <c r="E69" s="57" t="str">
        <f t="shared" si="29"/>
        <v>Peru</v>
      </c>
      <c r="F69" s="174" t="str">
        <f t="shared" si="30"/>
        <v>Partner</v>
      </c>
      <c r="G69" s="154" t="s">
        <v>578</v>
      </c>
      <c r="H69" s="154" t="s">
        <v>574</v>
      </c>
      <c r="I69" s="154" t="s">
        <v>126</v>
      </c>
      <c r="J69" s="154" t="s">
        <v>604</v>
      </c>
      <c r="K69" s="154" t="s">
        <v>626</v>
      </c>
      <c r="L69" s="64">
        <v>43845</v>
      </c>
      <c r="M69" s="64">
        <v>44392</v>
      </c>
      <c r="N69" s="25">
        <v>2</v>
      </c>
      <c r="O69" s="93">
        <f t="shared" si="31"/>
        <v>80</v>
      </c>
      <c r="P69" s="94">
        <f t="shared" si="32"/>
        <v>160</v>
      </c>
      <c r="Q69" s="23" t="str">
        <f t="shared" si="33"/>
        <v/>
      </c>
      <c r="R69" s="24">
        <f t="shared" si="34"/>
        <v>2</v>
      </c>
    </row>
    <row r="70" spans="2:18" s="24" customFormat="1" ht="90" x14ac:dyDescent="0.35">
      <c r="B70" s="154" t="s">
        <v>196</v>
      </c>
      <c r="C70" s="22" t="s">
        <v>12</v>
      </c>
      <c r="D70" s="57" t="str">
        <f t="shared" si="28"/>
        <v>Universidad Nacional de Ingenieria</v>
      </c>
      <c r="E70" s="57" t="str">
        <f t="shared" si="29"/>
        <v>Peru</v>
      </c>
      <c r="F70" s="174" t="str">
        <f t="shared" si="30"/>
        <v>Partner</v>
      </c>
      <c r="G70" s="154" t="s">
        <v>578</v>
      </c>
      <c r="H70" s="154" t="s">
        <v>575</v>
      </c>
      <c r="I70" s="154" t="s">
        <v>126</v>
      </c>
      <c r="J70" s="154" t="s">
        <v>604</v>
      </c>
      <c r="K70" s="154" t="s">
        <v>626</v>
      </c>
      <c r="L70" s="64">
        <v>43845</v>
      </c>
      <c r="M70" s="64">
        <v>44392</v>
      </c>
      <c r="N70" s="25">
        <v>5</v>
      </c>
      <c r="O70" s="93">
        <f t="shared" si="31"/>
        <v>80</v>
      </c>
      <c r="P70" s="94">
        <f t="shared" si="32"/>
        <v>400</v>
      </c>
      <c r="Q70" s="23" t="str">
        <f t="shared" si="33"/>
        <v/>
      </c>
      <c r="R70" s="24">
        <f t="shared" si="34"/>
        <v>5</v>
      </c>
    </row>
    <row r="71" spans="2:18" s="24" customFormat="1" ht="144" x14ac:dyDescent="0.35">
      <c r="B71" s="154" t="s">
        <v>196</v>
      </c>
      <c r="C71" s="22" t="s">
        <v>13</v>
      </c>
      <c r="D71" s="57" t="str">
        <f t="shared" si="28"/>
        <v>Universidad Central de Venezuela</v>
      </c>
      <c r="E71" s="57" t="str">
        <f t="shared" si="29"/>
        <v>Venezuela</v>
      </c>
      <c r="F71" s="174" t="str">
        <f t="shared" si="30"/>
        <v>Partner</v>
      </c>
      <c r="G71" s="154" t="s">
        <v>578</v>
      </c>
      <c r="H71" s="154" t="s">
        <v>576</v>
      </c>
      <c r="I71" s="154" t="s">
        <v>127</v>
      </c>
      <c r="J71" s="154" t="s">
        <v>600</v>
      </c>
      <c r="K71" s="154" t="s">
        <v>629</v>
      </c>
      <c r="L71" s="64">
        <v>43845</v>
      </c>
      <c r="M71" s="64">
        <v>44392</v>
      </c>
      <c r="N71" s="25">
        <v>12</v>
      </c>
      <c r="O71" s="93">
        <f t="shared" si="31"/>
        <v>108</v>
      </c>
      <c r="P71" s="94">
        <f t="shared" si="32"/>
        <v>1296</v>
      </c>
      <c r="Q71" s="23" t="str">
        <f t="shared" si="33"/>
        <v/>
      </c>
      <c r="R71" s="24">
        <f t="shared" si="34"/>
        <v>12</v>
      </c>
    </row>
    <row r="72" spans="2:18" s="24" customFormat="1" ht="144" x14ac:dyDescent="0.35">
      <c r="B72" s="154" t="s">
        <v>196</v>
      </c>
      <c r="C72" s="22" t="s">
        <v>14</v>
      </c>
      <c r="D72" s="57" t="str">
        <f t="shared" si="28"/>
        <v>Universidad Simon Bolivar</v>
      </c>
      <c r="E72" s="57" t="str">
        <f t="shared" si="29"/>
        <v>Venezuela</v>
      </c>
      <c r="F72" s="174" t="str">
        <f t="shared" si="30"/>
        <v>Partner</v>
      </c>
      <c r="G72" s="154" t="s">
        <v>578</v>
      </c>
      <c r="H72" s="154" t="s">
        <v>567</v>
      </c>
      <c r="I72" s="154" t="s">
        <v>127</v>
      </c>
      <c r="J72" s="154" t="s">
        <v>600</v>
      </c>
      <c r="K72" s="154" t="s">
        <v>629</v>
      </c>
      <c r="L72" s="64">
        <v>43845</v>
      </c>
      <c r="M72" s="64">
        <v>44392</v>
      </c>
      <c r="N72" s="25">
        <v>12</v>
      </c>
      <c r="O72" s="93">
        <f t="shared" si="31"/>
        <v>108</v>
      </c>
      <c r="P72" s="94">
        <f t="shared" si="32"/>
        <v>1296</v>
      </c>
      <c r="Q72" s="23" t="str">
        <f t="shared" si="33"/>
        <v/>
      </c>
      <c r="R72" s="24">
        <f t="shared" si="34"/>
        <v>12</v>
      </c>
    </row>
    <row r="73" spans="2:18" s="24" customFormat="1" ht="90" x14ac:dyDescent="0.35">
      <c r="B73" s="154" t="s">
        <v>196</v>
      </c>
      <c r="C73" s="22" t="s">
        <v>15</v>
      </c>
      <c r="D73" s="57" t="str">
        <f t="shared" si="28"/>
        <v>Université Paul Sabatier Toulouse III</v>
      </c>
      <c r="E73" s="57" t="str">
        <f t="shared" si="29"/>
        <v>France</v>
      </c>
      <c r="F73" s="174" t="str">
        <f t="shared" si="30"/>
        <v>Partner</v>
      </c>
      <c r="G73" s="154" t="s">
        <v>578</v>
      </c>
      <c r="H73" s="154" t="s">
        <v>577</v>
      </c>
      <c r="I73" s="154" t="s">
        <v>126</v>
      </c>
      <c r="J73" s="154" t="s">
        <v>604</v>
      </c>
      <c r="K73" s="154" t="s">
        <v>626</v>
      </c>
      <c r="L73" s="64">
        <v>43845</v>
      </c>
      <c r="M73" s="64">
        <v>44392</v>
      </c>
      <c r="N73" s="25">
        <v>3</v>
      </c>
      <c r="O73" s="93">
        <f t="shared" si="31"/>
        <v>214</v>
      </c>
      <c r="P73" s="94">
        <f t="shared" si="32"/>
        <v>642</v>
      </c>
      <c r="Q73" s="23" t="str">
        <f t="shared" si="33"/>
        <v/>
      </c>
      <c r="R73" s="24">
        <f t="shared" si="34"/>
        <v>3</v>
      </c>
    </row>
    <row r="74" spans="2:18" s="24" customFormat="1" ht="54" x14ac:dyDescent="0.35">
      <c r="B74" s="154" t="s">
        <v>196</v>
      </c>
      <c r="C74" s="22" t="s">
        <v>16</v>
      </c>
      <c r="D74" s="57" t="str">
        <f t="shared" si="28"/>
        <v>Technische Universität Dresden</v>
      </c>
      <c r="E74" s="57" t="str">
        <f t="shared" si="29"/>
        <v>Germany</v>
      </c>
      <c r="F74" s="174" t="str">
        <f t="shared" si="30"/>
        <v>Partner</v>
      </c>
      <c r="G74" s="154" t="s">
        <v>578</v>
      </c>
      <c r="H74" s="154" t="s">
        <v>588</v>
      </c>
      <c r="I74" s="154" t="s">
        <v>126</v>
      </c>
      <c r="J74" s="154" t="s">
        <v>604</v>
      </c>
      <c r="K74" s="154" t="s">
        <v>630</v>
      </c>
      <c r="L74" s="64">
        <v>43845</v>
      </c>
      <c r="M74" s="64">
        <v>44392</v>
      </c>
      <c r="N74" s="25">
        <v>7</v>
      </c>
      <c r="O74" s="93">
        <f t="shared" si="31"/>
        <v>214</v>
      </c>
      <c r="P74" s="94">
        <f t="shared" si="32"/>
        <v>1498</v>
      </c>
      <c r="Q74" s="23" t="str">
        <f t="shared" si="33"/>
        <v/>
      </c>
      <c r="R74" s="24">
        <f t="shared" si="34"/>
        <v>7</v>
      </c>
    </row>
    <row r="75" spans="2:18" s="24" customFormat="1" ht="90" x14ac:dyDescent="0.35">
      <c r="B75" s="154" t="s">
        <v>157</v>
      </c>
      <c r="C75" s="22" t="s">
        <v>6</v>
      </c>
      <c r="D75" s="57" t="str">
        <f t="shared" si="28"/>
        <v>Université de Paris</v>
      </c>
      <c r="E75" s="57" t="str">
        <f t="shared" si="29"/>
        <v>France</v>
      </c>
      <c r="F75" s="174" t="str">
        <f t="shared" si="30"/>
        <v>Coord</v>
      </c>
      <c r="G75" s="154" t="s">
        <v>580</v>
      </c>
      <c r="H75" s="154" t="s">
        <v>569</v>
      </c>
      <c r="I75" s="154" t="s">
        <v>127</v>
      </c>
      <c r="J75" s="154" t="s">
        <v>605</v>
      </c>
      <c r="K75" s="154" t="s">
        <v>631</v>
      </c>
      <c r="L75" s="64">
        <v>43845</v>
      </c>
      <c r="M75" s="64">
        <v>44392</v>
      </c>
      <c r="N75" s="25">
        <v>51</v>
      </c>
      <c r="O75" s="93">
        <f t="shared" si="31"/>
        <v>280</v>
      </c>
      <c r="P75" s="94">
        <f t="shared" si="32"/>
        <v>14280</v>
      </c>
      <c r="Q75" s="23" t="str">
        <f t="shared" si="33"/>
        <v/>
      </c>
      <c r="R75" s="24">
        <f t="shared" si="34"/>
        <v>51</v>
      </c>
    </row>
    <row r="76" spans="2:18" s="24" customFormat="1" ht="108" x14ac:dyDescent="0.35">
      <c r="B76" s="154" t="s">
        <v>157</v>
      </c>
      <c r="C76" s="22" t="s">
        <v>6</v>
      </c>
      <c r="D76" s="57" t="str">
        <f t="shared" ref="D76:D78" si="35">IFERROR(IF(VLOOKUP(C76,PartnerN°Ref,2,FALSE)=0,"",VLOOKUP(C76,PartnerN°Ref,2,FALSE)),"")</f>
        <v>Université de Paris</v>
      </c>
      <c r="E76" s="57" t="str">
        <f t="shared" si="29"/>
        <v>France</v>
      </c>
      <c r="F76" s="174" t="str">
        <f t="shared" si="30"/>
        <v>Coord</v>
      </c>
      <c r="G76" s="154" t="s">
        <v>580</v>
      </c>
      <c r="H76" s="154" t="s">
        <v>568</v>
      </c>
      <c r="I76" s="154" t="s">
        <v>127</v>
      </c>
      <c r="J76" s="154" t="s">
        <v>605</v>
      </c>
      <c r="K76" s="154" t="s">
        <v>632</v>
      </c>
      <c r="L76" s="64">
        <v>43922</v>
      </c>
      <c r="M76" s="64">
        <v>44377</v>
      </c>
      <c r="N76" s="25">
        <v>198</v>
      </c>
      <c r="O76" s="93">
        <f t="shared" si="31"/>
        <v>280</v>
      </c>
      <c r="P76" s="94">
        <f t="shared" ref="P76:P78" si="36">IF(Q76="Error",0,R76*O76)</f>
        <v>55440</v>
      </c>
      <c r="Q76" s="23" t="str">
        <f t="shared" si="33"/>
        <v/>
      </c>
      <c r="R76" s="24">
        <f t="shared" si="34"/>
        <v>198</v>
      </c>
    </row>
    <row r="77" spans="2:18" s="24" customFormat="1" ht="90" x14ac:dyDescent="0.35">
      <c r="B77" s="154" t="s">
        <v>157</v>
      </c>
      <c r="C77" s="22" t="s">
        <v>7</v>
      </c>
      <c r="D77" s="57" t="str">
        <f t="shared" si="35"/>
        <v>Universidad Industrial de Santander</v>
      </c>
      <c r="E77" s="57" t="str">
        <f t="shared" si="29"/>
        <v>Colombia</v>
      </c>
      <c r="F77" s="174" t="str">
        <f t="shared" si="30"/>
        <v>Partner</v>
      </c>
      <c r="G77" s="154" t="s">
        <v>580</v>
      </c>
      <c r="H77" s="154" t="s">
        <v>570</v>
      </c>
      <c r="I77" s="154" t="s">
        <v>127</v>
      </c>
      <c r="J77" s="154" t="s">
        <v>605</v>
      </c>
      <c r="K77" s="154" t="s">
        <v>631</v>
      </c>
      <c r="L77" s="64">
        <v>43845</v>
      </c>
      <c r="M77" s="64">
        <v>44392</v>
      </c>
      <c r="N77" s="25">
        <v>30</v>
      </c>
      <c r="O77" s="93">
        <f t="shared" si="31"/>
        <v>108</v>
      </c>
      <c r="P77" s="94">
        <f t="shared" si="36"/>
        <v>3240</v>
      </c>
      <c r="Q77" s="23" t="str">
        <f t="shared" si="33"/>
        <v/>
      </c>
      <c r="R77" s="24">
        <f t="shared" si="34"/>
        <v>30</v>
      </c>
    </row>
    <row r="78" spans="2:18" s="24" customFormat="1" x14ac:dyDescent="0.35">
      <c r="B78" s="154" t="s">
        <v>157</v>
      </c>
      <c r="C78" s="22" t="s">
        <v>16</v>
      </c>
      <c r="D78" s="57" t="str">
        <f t="shared" si="35"/>
        <v>Technische Universität Dresden</v>
      </c>
      <c r="E78" s="57" t="str">
        <f t="shared" si="29"/>
        <v>Germany</v>
      </c>
      <c r="F78" s="174" t="str">
        <f t="shared" si="30"/>
        <v>Partner</v>
      </c>
      <c r="G78" s="154" t="s">
        <v>578</v>
      </c>
      <c r="H78" s="154" t="s">
        <v>593</v>
      </c>
      <c r="I78" s="154" t="s">
        <v>127</v>
      </c>
      <c r="J78" s="154" t="s">
        <v>606</v>
      </c>
      <c r="K78" s="154" t="s">
        <v>633</v>
      </c>
      <c r="L78" s="64">
        <v>43989</v>
      </c>
      <c r="M78" s="64">
        <v>44365</v>
      </c>
      <c r="N78" s="25">
        <v>10</v>
      </c>
      <c r="O78" s="93">
        <f t="shared" si="31"/>
        <v>280</v>
      </c>
      <c r="P78" s="94">
        <f t="shared" si="36"/>
        <v>2800</v>
      </c>
      <c r="Q78" s="23" t="str">
        <f t="shared" si="33"/>
        <v/>
      </c>
      <c r="R78" s="24">
        <f t="shared" si="34"/>
        <v>10</v>
      </c>
    </row>
  </sheetData>
  <sheetProtection algorithmName="SHA-512" hashValue="RkngY9d4Q83vrZ00QKheyRrzVOBwpw2laCF6F6aEm55kjGuCKELGc+o7cYn0TKcxZIldsRmF9dr7Rrg37rcM+Q==" saltValue="NUglB6Azu3ARM+F51FSp5Q==" spinCount="100000" sheet="1" objects="1" scenarios="1" selectLockedCells="1"/>
  <dataConsolidate/>
  <mergeCells count="4">
    <mergeCell ref="B2:Q2"/>
    <mergeCell ref="B4:C6"/>
    <mergeCell ref="D4:D6"/>
    <mergeCell ref="E4:E6"/>
  </mergeCells>
  <conditionalFormatting sqref="Q9:Q10">
    <cfRule type="containsText" dxfId="643" priority="1477" operator="containsText" text="Error">
      <formula>NOT(ISERROR(SEARCH("Error",Q9)))</formula>
    </cfRule>
  </conditionalFormatting>
  <conditionalFormatting sqref="P9:P10">
    <cfRule type="expression" dxfId="642" priority="809">
      <formula>N9&gt;(M9-L9)+1</formula>
    </cfRule>
  </conditionalFormatting>
  <conditionalFormatting sqref="E4:F6">
    <cfRule type="cellIs" dxfId="641" priority="870" operator="notEqual">
      <formula>""</formula>
    </cfRule>
  </conditionalFormatting>
  <conditionalFormatting sqref="E9:E10">
    <cfRule type="expression" dxfId="640" priority="868">
      <formula>COUNTIF(CountryALL,E9)=0</formula>
    </cfRule>
  </conditionalFormatting>
  <conditionalFormatting sqref="D9:D10">
    <cfRule type="cellIs" dxfId="639" priority="867" operator="equal">
      <formula>""</formula>
    </cfRule>
  </conditionalFormatting>
  <conditionalFormatting sqref="F9:F10">
    <cfRule type="expression" dxfId="638" priority="676">
      <formula>COUNTIF(Role_Code,F9)=0</formula>
    </cfRule>
  </conditionalFormatting>
  <conditionalFormatting sqref="Q77">
    <cfRule type="containsText" dxfId="637" priority="520" operator="containsText" text="Error">
      <formula>NOT(ISERROR(SEARCH("Error",Q77)))</formula>
    </cfRule>
  </conditionalFormatting>
  <conditionalFormatting sqref="P77">
    <cfRule type="expression" dxfId="636" priority="517">
      <formula>N77&gt;(M77-L77)+1</formula>
    </cfRule>
  </conditionalFormatting>
  <conditionalFormatting sqref="E77">
    <cfRule type="expression" dxfId="635" priority="519">
      <formula>COUNTIF(CountryALL,E77)=0</formula>
    </cfRule>
  </conditionalFormatting>
  <conditionalFormatting sqref="D77">
    <cfRule type="cellIs" dxfId="634" priority="518" operator="equal">
      <formula>""</formula>
    </cfRule>
  </conditionalFormatting>
  <conditionalFormatting sqref="F77">
    <cfRule type="expression" dxfId="633" priority="516">
      <formula>COUNTIF(Role_Code,F77)=0</formula>
    </cfRule>
  </conditionalFormatting>
  <conditionalFormatting sqref="Q12">
    <cfRule type="containsText" dxfId="632" priority="470" operator="containsText" text="Error">
      <formula>NOT(ISERROR(SEARCH("Error",Q12)))</formula>
    </cfRule>
  </conditionalFormatting>
  <conditionalFormatting sqref="P12">
    <cfRule type="expression" dxfId="631" priority="467">
      <formula>N12&gt;(M12-L12)+1</formula>
    </cfRule>
  </conditionalFormatting>
  <conditionalFormatting sqref="E12">
    <cfRule type="expression" dxfId="630" priority="469">
      <formula>COUNTIF(CountryALL,E12)=0</formula>
    </cfRule>
  </conditionalFormatting>
  <conditionalFormatting sqref="D12">
    <cfRule type="cellIs" dxfId="629" priority="468" operator="equal">
      <formula>""</formula>
    </cfRule>
  </conditionalFormatting>
  <conditionalFormatting sqref="F12">
    <cfRule type="expression" dxfId="628" priority="466">
      <formula>COUNTIF(Role_Code,F12)=0</formula>
    </cfRule>
  </conditionalFormatting>
  <conditionalFormatting sqref="Q13">
    <cfRule type="containsText" dxfId="627" priority="465" operator="containsText" text="Error">
      <formula>NOT(ISERROR(SEARCH("Error",Q13)))</formula>
    </cfRule>
  </conditionalFormatting>
  <conditionalFormatting sqref="P13">
    <cfRule type="expression" dxfId="626" priority="462">
      <formula>N13&gt;(M13-L13)+1</formula>
    </cfRule>
  </conditionalFormatting>
  <conditionalFormatting sqref="E13">
    <cfRule type="expression" dxfId="625" priority="464">
      <formula>COUNTIF(CountryALL,E13)=0</formula>
    </cfRule>
  </conditionalFormatting>
  <conditionalFormatting sqref="D13">
    <cfRule type="cellIs" dxfId="624" priority="463" operator="equal">
      <formula>""</formula>
    </cfRule>
  </conditionalFormatting>
  <conditionalFormatting sqref="F13">
    <cfRule type="expression" dxfId="623" priority="461">
      <formula>COUNTIF(Role_Code,F13)=0</formula>
    </cfRule>
  </conditionalFormatting>
  <conditionalFormatting sqref="Q15">
    <cfRule type="containsText" dxfId="622" priority="460" operator="containsText" text="Error">
      <formula>NOT(ISERROR(SEARCH("Error",Q15)))</formula>
    </cfRule>
  </conditionalFormatting>
  <conditionalFormatting sqref="P15">
    <cfRule type="expression" dxfId="621" priority="457">
      <formula>N15&gt;(M15-L15)+1</formula>
    </cfRule>
  </conditionalFormatting>
  <conditionalFormatting sqref="E15">
    <cfRule type="expression" dxfId="620" priority="459">
      <formula>COUNTIF(CountryALL,E15)=0</formula>
    </cfRule>
  </conditionalFormatting>
  <conditionalFormatting sqref="D15">
    <cfRule type="cellIs" dxfId="619" priority="458" operator="equal">
      <formula>""</formula>
    </cfRule>
  </conditionalFormatting>
  <conditionalFormatting sqref="F15">
    <cfRule type="expression" dxfId="618" priority="456">
      <formula>COUNTIF(Role_Code,F15)=0</formula>
    </cfRule>
  </conditionalFormatting>
  <conditionalFormatting sqref="Q16">
    <cfRule type="containsText" dxfId="617" priority="455" operator="containsText" text="Error">
      <formula>NOT(ISERROR(SEARCH("Error",Q16)))</formula>
    </cfRule>
  </conditionalFormatting>
  <conditionalFormatting sqref="P16">
    <cfRule type="expression" dxfId="616" priority="452">
      <formula>N16&gt;(M16-L16)+1</formula>
    </cfRule>
  </conditionalFormatting>
  <conditionalFormatting sqref="E16">
    <cfRule type="expression" dxfId="615" priority="454">
      <formula>COUNTIF(CountryALL,E16)=0</formula>
    </cfRule>
  </conditionalFormatting>
  <conditionalFormatting sqref="D16">
    <cfRule type="cellIs" dxfId="614" priority="453" operator="equal">
      <formula>""</formula>
    </cfRule>
  </conditionalFormatting>
  <conditionalFormatting sqref="F16">
    <cfRule type="expression" dxfId="613" priority="451">
      <formula>COUNTIF(Role_Code,F16)=0</formula>
    </cfRule>
  </conditionalFormatting>
  <conditionalFormatting sqref="Q17">
    <cfRule type="containsText" dxfId="612" priority="450" operator="containsText" text="Error">
      <formula>NOT(ISERROR(SEARCH("Error",Q17)))</formula>
    </cfRule>
  </conditionalFormatting>
  <conditionalFormatting sqref="P17">
    <cfRule type="expression" dxfId="611" priority="447">
      <formula>N17&gt;(M17-L17)+1</formula>
    </cfRule>
  </conditionalFormatting>
  <conditionalFormatting sqref="E17">
    <cfRule type="expression" dxfId="610" priority="449">
      <formula>COUNTIF(CountryALL,E17)=0</formula>
    </cfRule>
  </conditionalFormatting>
  <conditionalFormatting sqref="D17">
    <cfRule type="cellIs" dxfId="609" priority="448" operator="equal">
      <formula>""</formula>
    </cfRule>
  </conditionalFormatting>
  <conditionalFormatting sqref="F17">
    <cfRule type="expression" dxfId="608" priority="446">
      <formula>COUNTIF(Role_Code,F17)=0</formula>
    </cfRule>
  </conditionalFormatting>
  <conditionalFormatting sqref="Q18">
    <cfRule type="containsText" dxfId="607" priority="445" operator="containsText" text="Error">
      <formula>NOT(ISERROR(SEARCH("Error",Q18)))</formula>
    </cfRule>
  </conditionalFormatting>
  <conditionalFormatting sqref="P18">
    <cfRule type="expression" dxfId="606" priority="442">
      <formula>N18&gt;(M18-L18)+1</formula>
    </cfRule>
  </conditionalFormatting>
  <conditionalFormatting sqref="E18">
    <cfRule type="expression" dxfId="605" priority="444">
      <formula>COUNTIF(CountryALL,E18)=0</formula>
    </cfRule>
  </conditionalFormatting>
  <conditionalFormatting sqref="D18">
    <cfRule type="cellIs" dxfId="604" priority="443" operator="equal">
      <formula>""</formula>
    </cfRule>
  </conditionalFormatting>
  <conditionalFormatting sqref="F18">
    <cfRule type="expression" dxfId="603" priority="441">
      <formula>COUNTIF(Role_Code,F18)=0</formula>
    </cfRule>
  </conditionalFormatting>
  <conditionalFormatting sqref="Q19">
    <cfRule type="containsText" dxfId="602" priority="440" operator="containsText" text="Error">
      <formula>NOT(ISERROR(SEARCH("Error",Q19)))</formula>
    </cfRule>
  </conditionalFormatting>
  <conditionalFormatting sqref="P19">
    <cfRule type="expression" dxfId="601" priority="437">
      <formula>N19&gt;(M19-L19)+1</formula>
    </cfRule>
  </conditionalFormatting>
  <conditionalFormatting sqref="E19">
    <cfRule type="expression" dxfId="600" priority="439">
      <formula>COUNTIF(CountryALL,E19)=0</formula>
    </cfRule>
  </conditionalFormatting>
  <conditionalFormatting sqref="D19">
    <cfRule type="cellIs" dxfId="599" priority="438" operator="equal">
      <formula>""</formula>
    </cfRule>
  </conditionalFormatting>
  <conditionalFormatting sqref="F19">
    <cfRule type="expression" dxfId="598" priority="436">
      <formula>COUNTIF(Role_Code,F19)=0</formula>
    </cfRule>
  </conditionalFormatting>
  <conditionalFormatting sqref="Q20">
    <cfRule type="containsText" dxfId="597" priority="435" operator="containsText" text="Error">
      <formula>NOT(ISERROR(SEARCH("Error",Q20)))</formula>
    </cfRule>
  </conditionalFormatting>
  <conditionalFormatting sqref="P20">
    <cfRule type="expression" dxfId="596" priority="432">
      <formula>N20&gt;(M20-L20)+1</formula>
    </cfRule>
  </conditionalFormatting>
  <conditionalFormatting sqref="E20">
    <cfRule type="expression" dxfId="595" priority="434">
      <formula>COUNTIF(CountryALL,E20)=0</formula>
    </cfRule>
  </conditionalFormatting>
  <conditionalFormatting sqref="D20">
    <cfRule type="cellIs" dxfId="594" priority="433" operator="equal">
      <formula>""</formula>
    </cfRule>
  </conditionalFormatting>
  <conditionalFormatting sqref="F20">
    <cfRule type="expression" dxfId="593" priority="431">
      <formula>COUNTIF(Role_Code,F20)=0</formula>
    </cfRule>
  </conditionalFormatting>
  <conditionalFormatting sqref="Q21">
    <cfRule type="containsText" dxfId="592" priority="415" operator="containsText" text="Error">
      <formula>NOT(ISERROR(SEARCH("Error",Q21)))</formula>
    </cfRule>
  </conditionalFormatting>
  <conditionalFormatting sqref="P21">
    <cfRule type="expression" dxfId="591" priority="412">
      <formula>N21&gt;(M21-L21)+1</formula>
    </cfRule>
  </conditionalFormatting>
  <conditionalFormatting sqref="E21">
    <cfRule type="expression" dxfId="590" priority="414">
      <formula>COUNTIF(CountryALL,E21)=0</formula>
    </cfRule>
  </conditionalFormatting>
  <conditionalFormatting sqref="D21">
    <cfRule type="cellIs" dxfId="589" priority="413" operator="equal">
      <formula>""</formula>
    </cfRule>
  </conditionalFormatting>
  <conditionalFormatting sqref="F21">
    <cfRule type="expression" dxfId="588" priority="411">
      <formula>COUNTIF(Role_Code,F21)=0</formula>
    </cfRule>
  </conditionalFormatting>
  <conditionalFormatting sqref="Q23">
    <cfRule type="containsText" dxfId="587" priority="410" operator="containsText" text="Error">
      <formula>NOT(ISERROR(SEARCH("Error",Q23)))</formula>
    </cfRule>
  </conditionalFormatting>
  <conditionalFormatting sqref="P23">
    <cfRule type="expression" dxfId="586" priority="407">
      <formula>N23&gt;(M23-L23)+1</formula>
    </cfRule>
  </conditionalFormatting>
  <conditionalFormatting sqref="E23">
    <cfRule type="expression" dxfId="585" priority="409">
      <formula>COUNTIF(CountryALL,E23)=0</formula>
    </cfRule>
  </conditionalFormatting>
  <conditionalFormatting sqref="D23">
    <cfRule type="cellIs" dxfId="584" priority="408" operator="equal">
      <formula>""</formula>
    </cfRule>
  </conditionalFormatting>
  <conditionalFormatting sqref="F23">
    <cfRule type="expression" dxfId="583" priority="406">
      <formula>COUNTIF(Role_Code,F23)=0</formula>
    </cfRule>
  </conditionalFormatting>
  <conditionalFormatting sqref="Q25">
    <cfRule type="containsText" dxfId="582" priority="400" operator="containsText" text="Error">
      <formula>NOT(ISERROR(SEARCH("Error",Q25)))</formula>
    </cfRule>
  </conditionalFormatting>
  <conditionalFormatting sqref="P25">
    <cfRule type="expression" dxfId="581" priority="397">
      <formula>N25&gt;(M25-L25)+1</formula>
    </cfRule>
  </conditionalFormatting>
  <conditionalFormatting sqref="E25">
    <cfRule type="expression" dxfId="580" priority="399">
      <formula>COUNTIF(CountryALL,E25)=0</formula>
    </cfRule>
  </conditionalFormatting>
  <conditionalFormatting sqref="D25">
    <cfRule type="cellIs" dxfId="579" priority="398" operator="equal">
      <formula>""</formula>
    </cfRule>
  </conditionalFormatting>
  <conditionalFormatting sqref="F25">
    <cfRule type="expression" dxfId="578" priority="396">
      <formula>COUNTIF(Role_Code,F25)=0</formula>
    </cfRule>
  </conditionalFormatting>
  <conditionalFormatting sqref="Q26">
    <cfRule type="containsText" dxfId="577" priority="395" operator="containsText" text="Error">
      <formula>NOT(ISERROR(SEARCH("Error",Q26)))</formula>
    </cfRule>
  </conditionalFormatting>
  <conditionalFormatting sqref="P26">
    <cfRule type="expression" dxfId="576" priority="392">
      <formula>N26&gt;(M26-L26)+1</formula>
    </cfRule>
  </conditionalFormatting>
  <conditionalFormatting sqref="E26">
    <cfRule type="expression" dxfId="575" priority="394">
      <formula>COUNTIF(CountryALL,E26)=0</formula>
    </cfRule>
  </conditionalFormatting>
  <conditionalFormatting sqref="D26">
    <cfRule type="cellIs" dxfId="574" priority="393" operator="equal">
      <formula>""</formula>
    </cfRule>
  </conditionalFormatting>
  <conditionalFormatting sqref="F26">
    <cfRule type="expression" dxfId="573" priority="391">
      <formula>COUNTIF(Role_Code,F26)=0</formula>
    </cfRule>
  </conditionalFormatting>
  <conditionalFormatting sqref="Q28">
    <cfRule type="containsText" dxfId="572" priority="390" operator="containsText" text="Error">
      <formula>NOT(ISERROR(SEARCH("Error",Q28)))</formula>
    </cfRule>
  </conditionalFormatting>
  <conditionalFormatting sqref="P28">
    <cfRule type="expression" dxfId="571" priority="387">
      <formula>N28&gt;(M28-L28)+1</formula>
    </cfRule>
  </conditionalFormatting>
  <conditionalFormatting sqref="E28">
    <cfRule type="expression" dxfId="570" priority="389">
      <formula>COUNTIF(CountryALL,E28)=0</formula>
    </cfRule>
  </conditionalFormatting>
  <conditionalFormatting sqref="D28">
    <cfRule type="cellIs" dxfId="569" priority="388" operator="equal">
      <formula>""</formula>
    </cfRule>
  </conditionalFormatting>
  <conditionalFormatting sqref="F28">
    <cfRule type="expression" dxfId="568" priority="386">
      <formula>COUNTIF(Role_Code,F28)=0</formula>
    </cfRule>
  </conditionalFormatting>
  <conditionalFormatting sqref="Q29">
    <cfRule type="containsText" dxfId="567" priority="385" operator="containsText" text="Error">
      <formula>NOT(ISERROR(SEARCH("Error",Q29)))</formula>
    </cfRule>
  </conditionalFormatting>
  <conditionalFormatting sqref="P29">
    <cfRule type="expression" dxfId="566" priority="382">
      <formula>N29&gt;(M29-L29)+1</formula>
    </cfRule>
  </conditionalFormatting>
  <conditionalFormatting sqref="E29">
    <cfRule type="expression" dxfId="565" priority="384">
      <formula>COUNTIF(CountryALL,E29)=0</formula>
    </cfRule>
  </conditionalFormatting>
  <conditionalFormatting sqref="D29">
    <cfRule type="cellIs" dxfId="564" priority="383" operator="equal">
      <formula>""</formula>
    </cfRule>
  </conditionalFormatting>
  <conditionalFormatting sqref="F29">
    <cfRule type="expression" dxfId="563" priority="381">
      <formula>COUNTIF(Role_Code,F29)=0</formula>
    </cfRule>
  </conditionalFormatting>
  <conditionalFormatting sqref="Q30">
    <cfRule type="containsText" dxfId="562" priority="380" operator="containsText" text="Error">
      <formula>NOT(ISERROR(SEARCH("Error",Q30)))</formula>
    </cfRule>
  </conditionalFormatting>
  <conditionalFormatting sqref="P30">
    <cfRule type="expression" dxfId="561" priority="377">
      <formula>N30&gt;(M30-L30)+1</formula>
    </cfRule>
  </conditionalFormatting>
  <conditionalFormatting sqref="E30">
    <cfRule type="expression" dxfId="560" priority="379">
      <formula>COUNTIF(CountryALL,E30)=0</formula>
    </cfRule>
  </conditionalFormatting>
  <conditionalFormatting sqref="D30">
    <cfRule type="cellIs" dxfId="559" priority="378" operator="equal">
      <formula>""</formula>
    </cfRule>
  </conditionalFormatting>
  <conditionalFormatting sqref="F30">
    <cfRule type="expression" dxfId="558" priority="376">
      <formula>COUNTIF(Role_Code,F30)=0</formula>
    </cfRule>
  </conditionalFormatting>
  <conditionalFormatting sqref="Q31">
    <cfRule type="containsText" dxfId="557" priority="375" operator="containsText" text="Error">
      <formula>NOT(ISERROR(SEARCH("Error",Q31)))</formula>
    </cfRule>
  </conditionalFormatting>
  <conditionalFormatting sqref="P31">
    <cfRule type="expression" dxfId="556" priority="372">
      <formula>N31&gt;(M31-L31)+1</formula>
    </cfRule>
  </conditionalFormatting>
  <conditionalFormatting sqref="E31">
    <cfRule type="expression" dxfId="555" priority="374">
      <formula>COUNTIF(CountryALL,E31)=0</formula>
    </cfRule>
  </conditionalFormatting>
  <conditionalFormatting sqref="D31">
    <cfRule type="cellIs" dxfId="554" priority="373" operator="equal">
      <formula>""</formula>
    </cfRule>
  </conditionalFormatting>
  <conditionalFormatting sqref="F31">
    <cfRule type="expression" dxfId="553" priority="371">
      <formula>COUNTIF(Role_Code,F31)=0</formula>
    </cfRule>
  </conditionalFormatting>
  <conditionalFormatting sqref="Q48">
    <cfRule type="containsText" dxfId="552" priority="360" operator="containsText" text="Error">
      <formula>NOT(ISERROR(SEARCH("Error",Q48)))</formula>
    </cfRule>
  </conditionalFormatting>
  <conditionalFormatting sqref="P48">
    <cfRule type="expression" dxfId="551" priority="357">
      <formula>N48&gt;(M48-L48)+1</formula>
    </cfRule>
  </conditionalFormatting>
  <conditionalFormatting sqref="E48">
    <cfRule type="expression" dxfId="550" priority="359">
      <formula>COUNTIF(CountryALL,E48)=0</formula>
    </cfRule>
  </conditionalFormatting>
  <conditionalFormatting sqref="D48">
    <cfRule type="cellIs" dxfId="549" priority="358" operator="equal">
      <formula>""</formula>
    </cfRule>
  </conditionalFormatting>
  <conditionalFormatting sqref="F48">
    <cfRule type="expression" dxfId="548" priority="356">
      <formula>COUNTIF(Role_Code,F48)=0</formula>
    </cfRule>
  </conditionalFormatting>
  <conditionalFormatting sqref="Q50">
    <cfRule type="containsText" dxfId="547" priority="355" operator="containsText" text="Error">
      <formula>NOT(ISERROR(SEARCH("Error",Q50)))</formula>
    </cfRule>
  </conditionalFormatting>
  <conditionalFormatting sqref="P50">
    <cfRule type="expression" dxfId="546" priority="352">
      <formula>N50&gt;(M50-L50)+1</formula>
    </cfRule>
  </conditionalFormatting>
  <conditionalFormatting sqref="E50">
    <cfRule type="expression" dxfId="545" priority="354">
      <formula>COUNTIF(CountryALL,E50)=0</formula>
    </cfRule>
  </conditionalFormatting>
  <conditionalFormatting sqref="D50">
    <cfRule type="cellIs" dxfId="544" priority="353" operator="equal">
      <formula>""</formula>
    </cfRule>
  </conditionalFormatting>
  <conditionalFormatting sqref="F50">
    <cfRule type="expression" dxfId="543" priority="351">
      <formula>COUNTIF(Role_Code,F50)=0</formula>
    </cfRule>
  </conditionalFormatting>
  <conditionalFormatting sqref="Q51">
    <cfRule type="containsText" dxfId="542" priority="330" operator="containsText" text="Error">
      <formula>NOT(ISERROR(SEARCH("Error",Q51)))</formula>
    </cfRule>
  </conditionalFormatting>
  <conditionalFormatting sqref="P51">
    <cfRule type="expression" dxfId="541" priority="327">
      <formula>N51&gt;(M51-L51)+1</formula>
    </cfRule>
  </conditionalFormatting>
  <conditionalFormatting sqref="E51">
    <cfRule type="expression" dxfId="540" priority="329">
      <formula>COUNTIF(CountryALL,E51)=0</formula>
    </cfRule>
  </conditionalFormatting>
  <conditionalFormatting sqref="D51">
    <cfRule type="cellIs" dxfId="539" priority="328" operator="equal">
      <formula>""</formula>
    </cfRule>
  </conditionalFormatting>
  <conditionalFormatting sqref="F51">
    <cfRule type="expression" dxfId="538" priority="326">
      <formula>COUNTIF(Role_Code,F51)=0</formula>
    </cfRule>
  </conditionalFormatting>
  <conditionalFormatting sqref="Q54">
    <cfRule type="containsText" dxfId="537" priority="325" operator="containsText" text="Error">
      <formula>NOT(ISERROR(SEARCH("Error",Q54)))</formula>
    </cfRule>
  </conditionalFormatting>
  <conditionalFormatting sqref="P54">
    <cfRule type="expression" dxfId="536" priority="322">
      <formula>N54&gt;(M54-L54)+1</formula>
    </cfRule>
  </conditionalFormatting>
  <conditionalFormatting sqref="E54">
    <cfRule type="expression" dxfId="535" priority="324">
      <formula>COUNTIF(CountryALL,E54)=0</formula>
    </cfRule>
  </conditionalFormatting>
  <conditionalFormatting sqref="D54">
    <cfRule type="cellIs" dxfId="534" priority="323" operator="equal">
      <formula>""</formula>
    </cfRule>
  </conditionalFormatting>
  <conditionalFormatting sqref="F54">
    <cfRule type="expression" dxfId="533" priority="321">
      <formula>COUNTIF(Role_Code,F54)=0</formula>
    </cfRule>
  </conditionalFormatting>
  <conditionalFormatting sqref="Q55">
    <cfRule type="containsText" dxfId="532" priority="320" operator="containsText" text="Error">
      <formula>NOT(ISERROR(SEARCH("Error",Q55)))</formula>
    </cfRule>
  </conditionalFormatting>
  <conditionalFormatting sqref="P55">
    <cfRule type="expression" dxfId="531" priority="317">
      <formula>N55&gt;(M55-L55)+1</formula>
    </cfRule>
  </conditionalFormatting>
  <conditionalFormatting sqref="E55">
    <cfRule type="expression" dxfId="530" priority="319">
      <formula>COUNTIF(CountryALL,E55)=0</formula>
    </cfRule>
  </conditionalFormatting>
  <conditionalFormatting sqref="D55">
    <cfRule type="cellIs" dxfId="529" priority="318" operator="equal">
      <formula>""</formula>
    </cfRule>
  </conditionalFormatting>
  <conditionalFormatting sqref="F55">
    <cfRule type="expression" dxfId="528" priority="316">
      <formula>COUNTIF(Role_Code,F55)=0</formula>
    </cfRule>
  </conditionalFormatting>
  <conditionalFormatting sqref="Q56">
    <cfRule type="containsText" dxfId="527" priority="315" operator="containsText" text="Error">
      <formula>NOT(ISERROR(SEARCH("Error",Q56)))</formula>
    </cfRule>
  </conditionalFormatting>
  <conditionalFormatting sqref="P56">
    <cfRule type="expression" dxfId="526" priority="312">
      <formula>N56&gt;(M56-L56)+1</formula>
    </cfRule>
  </conditionalFormatting>
  <conditionalFormatting sqref="E56">
    <cfRule type="expression" dxfId="525" priority="314">
      <formula>COUNTIF(CountryALL,E56)=0</formula>
    </cfRule>
  </conditionalFormatting>
  <conditionalFormatting sqref="D56">
    <cfRule type="cellIs" dxfId="524" priority="313" operator="equal">
      <formula>""</formula>
    </cfRule>
  </conditionalFormatting>
  <conditionalFormatting sqref="F56">
    <cfRule type="expression" dxfId="523" priority="311">
      <formula>COUNTIF(Role_Code,F56)=0</formula>
    </cfRule>
  </conditionalFormatting>
  <conditionalFormatting sqref="Q57">
    <cfRule type="containsText" dxfId="522" priority="310" operator="containsText" text="Error">
      <formula>NOT(ISERROR(SEARCH("Error",Q57)))</formula>
    </cfRule>
  </conditionalFormatting>
  <conditionalFormatting sqref="P57">
    <cfRule type="expression" dxfId="521" priority="307">
      <formula>N57&gt;(M57-L57)+1</formula>
    </cfRule>
  </conditionalFormatting>
  <conditionalFormatting sqref="E57">
    <cfRule type="expression" dxfId="520" priority="309">
      <formula>COUNTIF(CountryALL,E57)=0</formula>
    </cfRule>
  </conditionalFormatting>
  <conditionalFormatting sqref="D57">
    <cfRule type="cellIs" dxfId="519" priority="308" operator="equal">
      <formula>""</formula>
    </cfRule>
  </conditionalFormatting>
  <conditionalFormatting sqref="F57">
    <cfRule type="expression" dxfId="518" priority="306">
      <formula>COUNTIF(Role_Code,F57)=0</formula>
    </cfRule>
  </conditionalFormatting>
  <conditionalFormatting sqref="Q58">
    <cfRule type="containsText" dxfId="517" priority="305" operator="containsText" text="Error">
      <formula>NOT(ISERROR(SEARCH("Error",Q58)))</formula>
    </cfRule>
  </conditionalFormatting>
  <conditionalFormatting sqref="P58">
    <cfRule type="expression" dxfId="516" priority="302">
      <formula>N58&gt;(M58-L58)+1</formula>
    </cfRule>
  </conditionalFormatting>
  <conditionalFormatting sqref="E58">
    <cfRule type="expression" dxfId="515" priority="304">
      <formula>COUNTIF(CountryALL,E58)=0</formula>
    </cfRule>
  </conditionalFormatting>
  <conditionalFormatting sqref="D58">
    <cfRule type="cellIs" dxfId="514" priority="303" operator="equal">
      <formula>""</formula>
    </cfRule>
  </conditionalFormatting>
  <conditionalFormatting sqref="F58">
    <cfRule type="expression" dxfId="513" priority="301">
      <formula>COUNTIF(Role_Code,F58)=0</formula>
    </cfRule>
  </conditionalFormatting>
  <conditionalFormatting sqref="Q59">
    <cfRule type="containsText" dxfId="512" priority="300" operator="containsText" text="Error">
      <formula>NOT(ISERROR(SEARCH("Error",Q59)))</formula>
    </cfRule>
  </conditionalFormatting>
  <conditionalFormatting sqref="P59">
    <cfRule type="expression" dxfId="511" priority="297">
      <formula>N59&gt;(M59-L59)+1</formula>
    </cfRule>
  </conditionalFormatting>
  <conditionalFormatting sqref="E59">
    <cfRule type="expression" dxfId="510" priority="299">
      <formula>COUNTIF(CountryALL,E59)=0</formula>
    </cfRule>
  </conditionalFormatting>
  <conditionalFormatting sqref="D59">
    <cfRule type="cellIs" dxfId="509" priority="298" operator="equal">
      <formula>""</formula>
    </cfRule>
  </conditionalFormatting>
  <conditionalFormatting sqref="F59">
    <cfRule type="expression" dxfId="508" priority="296">
      <formula>COUNTIF(Role_Code,F59)=0</formula>
    </cfRule>
  </conditionalFormatting>
  <conditionalFormatting sqref="Q60">
    <cfRule type="containsText" dxfId="507" priority="295" operator="containsText" text="Error">
      <formula>NOT(ISERROR(SEARCH("Error",Q60)))</formula>
    </cfRule>
  </conditionalFormatting>
  <conditionalFormatting sqref="P60">
    <cfRule type="expression" dxfId="506" priority="292">
      <formula>N60&gt;(M60-L60)+1</formula>
    </cfRule>
  </conditionalFormatting>
  <conditionalFormatting sqref="E60">
    <cfRule type="expression" dxfId="505" priority="294">
      <formula>COUNTIF(CountryALL,E60)=0</formula>
    </cfRule>
  </conditionalFormatting>
  <conditionalFormatting sqref="D60">
    <cfRule type="cellIs" dxfId="504" priority="293" operator="equal">
      <formula>""</formula>
    </cfRule>
  </conditionalFormatting>
  <conditionalFormatting sqref="F60">
    <cfRule type="expression" dxfId="503" priority="291">
      <formula>COUNTIF(Role_Code,F60)=0</formula>
    </cfRule>
  </conditionalFormatting>
  <conditionalFormatting sqref="Q62">
    <cfRule type="containsText" dxfId="502" priority="290" operator="containsText" text="Error">
      <formula>NOT(ISERROR(SEARCH("Error",Q62)))</formula>
    </cfRule>
  </conditionalFormatting>
  <conditionalFormatting sqref="P62">
    <cfRule type="expression" dxfId="501" priority="287">
      <formula>N62&gt;(M62-L62)+1</formula>
    </cfRule>
  </conditionalFormatting>
  <conditionalFormatting sqref="E62">
    <cfRule type="expression" dxfId="500" priority="289">
      <formula>COUNTIF(CountryALL,E62)=0</formula>
    </cfRule>
  </conditionalFormatting>
  <conditionalFormatting sqref="D62">
    <cfRule type="cellIs" dxfId="499" priority="288" operator="equal">
      <formula>""</formula>
    </cfRule>
  </conditionalFormatting>
  <conditionalFormatting sqref="F62">
    <cfRule type="expression" dxfId="498" priority="286">
      <formula>COUNTIF(Role_Code,F62)=0</formula>
    </cfRule>
  </conditionalFormatting>
  <conditionalFormatting sqref="Q64">
    <cfRule type="containsText" dxfId="497" priority="285" operator="containsText" text="Error">
      <formula>NOT(ISERROR(SEARCH("Error",Q64)))</formula>
    </cfRule>
  </conditionalFormatting>
  <conditionalFormatting sqref="P64">
    <cfRule type="expression" dxfId="496" priority="282">
      <formula>N64&gt;(M64-L64)+1</formula>
    </cfRule>
  </conditionalFormatting>
  <conditionalFormatting sqref="E64">
    <cfRule type="expression" dxfId="495" priority="284">
      <formula>COUNTIF(CountryALL,E64)=0</formula>
    </cfRule>
  </conditionalFormatting>
  <conditionalFormatting sqref="D64">
    <cfRule type="cellIs" dxfId="494" priority="283" operator="equal">
      <formula>""</formula>
    </cfRule>
  </conditionalFormatting>
  <conditionalFormatting sqref="F64">
    <cfRule type="expression" dxfId="493" priority="281">
      <formula>COUNTIF(Role_Code,F64)=0</formula>
    </cfRule>
  </conditionalFormatting>
  <conditionalFormatting sqref="Q66">
    <cfRule type="containsText" dxfId="492" priority="280" operator="containsText" text="Error">
      <formula>NOT(ISERROR(SEARCH("Error",Q66)))</formula>
    </cfRule>
  </conditionalFormatting>
  <conditionalFormatting sqref="P66">
    <cfRule type="expression" dxfId="491" priority="277">
      <formula>N66&gt;(M66-L66)+1</formula>
    </cfRule>
  </conditionalFormatting>
  <conditionalFormatting sqref="E66">
    <cfRule type="expression" dxfId="490" priority="279">
      <formula>COUNTIF(CountryALL,E66)=0</formula>
    </cfRule>
  </conditionalFormatting>
  <conditionalFormatting sqref="D66">
    <cfRule type="cellIs" dxfId="489" priority="278" operator="equal">
      <formula>""</formula>
    </cfRule>
  </conditionalFormatting>
  <conditionalFormatting sqref="F66">
    <cfRule type="expression" dxfId="488" priority="276">
      <formula>COUNTIF(Role_Code,F66)=0</formula>
    </cfRule>
  </conditionalFormatting>
  <conditionalFormatting sqref="Q67">
    <cfRule type="containsText" dxfId="487" priority="275" operator="containsText" text="Error">
      <formula>NOT(ISERROR(SEARCH("Error",Q67)))</formula>
    </cfRule>
  </conditionalFormatting>
  <conditionalFormatting sqref="P67">
    <cfRule type="expression" dxfId="486" priority="272">
      <formula>N67&gt;(M67-L67)+1</formula>
    </cfRule>
  </conditionalFormatting>
  <conditionalFormatting sqref="E67">
    <cfRule type="expression" dxfId="485" priority="274">
      <formula>COUNTIF(CountryALL,E67)=0</formula>
    </cfRule>
  </conditionalFormatting>
  <conditionalFormatting sqref="D67">
    <cfRule type="cellIs" dxfId="484" priority="273" operator="equal">
      <formula>""</formula>
    </cfRule>
  </conditionalFormatting>
  <conditionalFormatting sqref="F67">
    <cfRule type="expression" dxfId="483" priority="271">
      <formula>COUNTIF(Role_Code,F67)=0</formula>
    </cfRule>
  </conditionalFormatting>
  <conditionalFormatting sqref="Q69">
    <cfRule type="containsText" dxfId="482" priority="270" operator="containsText" text="Error">
      <formula>NOT(ISERROR(SEARCH("Error",Q69)))</formula>
    </cfRule>
  </conditionalFormatting>
  <conditionalFormatting sqref="P69">
    <cfRule type="expression" dxfId="481" priority="267">
      <formula>N69&gt;(M69-L69)+1</formula>
    </cfRule>
  </conditionalFormatting>
  <conditionalFormatting sqref="E69">
    <cfRule type="expression" dxfId="480" priority="269">
      <formula>COUNTIF(CountryALL,E69)=0</formula>
    </cfRule>
  </conditionalFormatting>
  <conditionalFormatting sqref="D69">
    <cfRule type="cellIs" dxfId="479" priority="268" operator="equal">
      <formula>""</formula>
    </cfRule>
  </conditionalFormatting>
  <conditionalFormatting sqref="F69">
    <cfRule type="expression" dxfId="478" priority="266">
      <formula>COUNTIF(Role_Code,F69)=0</formula>
    </cfRule>
  </conditionalFormatting>
  <conditionalFormatting sqref="Q70">
    <cfRule type="containsText" dxfId="477" priority="265" operator="containsText" text="Error">
      <formula>NOT(ISERROR(SEARCH("Error",Q70)))</formula>
    </cfRule>
  </conditionalFormatting>
  <conditionalFormatting sqref="P70">
    <cfRule type="expression" dxfId="476" priority="262">
      <formula>N70&gt;(M70-L70)+1</formula>
    </cfRule>
  </conditionalFormatting>
  <conditionalFormatting sqref="E70">
    <cfRule type="expression" dxfId="475" priority="264">
      <formula>COUNTIF(CountryALL,E70)=0</formula>
    </cfRule>
  </conditionalFormatting>
  <conditionalFormatting sqref="D70">
    <cfRule type="cellIs" dxfId="474" priority="263" operator="equal">
      <formula>""</formula>
    </cfRule>
  </conditionalFormatting>
  <conditionalFormatting sqref="F70">
    <cfRule type="expression" dxfId="473" priority="261">
      <formula>COUNTIF(Role_Code,F70)=0</formula>
    </cfRule>
  </conditionalFormatting>
  <conditionalFormatting sqref="Q71">
    <cfRule type="containsText" dxfId="472" priority="260" operator="containsText" text="Error">
      <formula>NOT(ISERROR(SEARCH("Error",Q71)))</formula>
    </cfRule>
  </conditionalFormatting>
  <conditionalFormatting sqref="P71">
    <cfRule type="expression" dxfId="471" priority="257">
      <formula>N71&gt;(M71-L71)+1</formula>
    </cfRule>
  </conditionalFormatting>
  <conditionalFormatting sqref="E71">
    <cfRule type="expression" dxfId="470" priority="259">
      <formula>COUNTIF(CountryALL,E71)=0</formula>
    </cfRule>
  </conditionalFormatting>
  <conditionalFormatting sqref="D71">
    <cfRule type="cellIs" dxfId="469" priority="258" operator="equal">
      <formula>""</formula>
    </cfRule>
  </conditionalFormatting>
  <conditionalFormatting sqref="F71">
    <cfRule type="expression" dxfId="468" priority="256">
      <formula>COUNTIF(Role_Code,F71)=0</formula>
    </cfRule>
  </conditionalFormatting>
  <conditionalFormatting sqref="Q72">
    <cfRule type="containsText" dxfId="467" priority="255" operator="containsText" text="Error">
      <formula>NOT(ISERROR(SEARCH("Error",Q72)))</formula>
    </cfRule>
  </conditionalFormatting>
  <conditionalFormatting sqref="P72">
    <cfRule type="expression" dxfId="466" priority="252">
      <formula>N72&gt;(M72-L72)+1</formula>
    </cfRule>
  </conditionalFormatting>
  <conditionalFormatting sqref="E72">
    <cfRule type="expression" dxfId="465" priority="254">
      <formula>COUNTIF(CountryALL,E72)=0</formula>
    </cfRule>
  </conditionalFormatting>
  <conditionalFormatting sqref="D72">
    <cfRule type="cellIs" dxfId="464" priority="253" operator="equal">
      <formula>""</formula>
    </cfRule>
  </conditionalFormatting>
  <conditionalFormatting sqref="F72">
    <cfRule type="expression" dxfId="463" priority="251">
      <formula>COUNTIF(Role_Code,F72)=0</formula>
    </cfRule>
  </conditionalFormatting>
  <conditionalFormatting sqref="Q73">
    <cfRule type="containsText" dxfId="462" priority="250" operator="containsText" text="Error">
      <formula>NOT(ISERROR(SEARCH("Error",Q73)))</formula>
    </cfRule>
  </conditionalFormatting>
  <conditionalFormatting sqref="P73">
    <cfRule type="expression" dxfId="461" priority="247">
      <formula>N73&gt;(M73-L73)+1</formula>
    </cfRule>
  </conditionalFormatting>
  <conditionalFormatting sqref="E73">
    <cfRule type="expression" dxfId="460" priority="249">
      <formula>COUNTIF(CountryALL,E73)=0</formula>
    </cfRule>
  </conditionalFormatting>
  <conditionalFormatting sqref="D73">
    <cfRule type="cellIs" dxfId="459" priority="248" operator="equal">
      <formula>""</formula>
    </cfRule>
  </conditionalFormatting>
  <conditionalFormatting sqref="F73">
    <cfRule type="expression" dxfId="458" priority="246">
      <formula>COUNTIF(Role_Code,F73)=0</formula>
    </cfRule>
  </conditionalFormatting>
  <conditionalFormatting sqref="Q74">
    <cfRule type="containsText" dxfId="457" priority="245" operator="containsText" text="Error">
      <formula>NOT(ISERROR(SEARCH("Error",Q74)))</formula>
    </cfRule>
  </conditionalFormatting>
  <conditionalFormatting sqref="P74">
    <cfRule type="expression" dxfId="456" priority="242">
      <formula>N74&gt;(M74-L74)+1</formula>
    </cfRule>
  </conditionalFormatting>
  <conditionalFormatting sqref="E74">
    <cfRule type="expression" dxfId="455" priority="244">
      <formula>COUNTIF(CountryALL,E74)=0</formula>
    </cfRule>
  </conditionalFormatting>
  <conditionalFormatting sqref="D74">
    <cfRule type="cellIs" dxfId="454" priority="243" operator="equal">
      <formula>""</formula>
    </cfRule>
  </conditionalFormatting>
  <conditionalFormatting sqref="F74">
    <cfRule type="expression" dxfId="453" priority="241">
      <formula>COUNTIF(Role_Code,F74)=0</formula>
    </cfRule>
  </conditionalFormatting>
  <conditionalFormatting sqref="Q75">
    <cfRule type="containsText" dxfId="452" priority="205" operator="containsText" text="Error">
      <formula>NOT(ISERROR(SEARCH("Error",Q75)))</formula>
    </cfRule>
  </conditionalFormatting>
  <conditionalFormatting sqref="P75">
    <cfRule type="expression" dxfId="451" priority="202">
      <formula>N75&gt;(M75-L75)+1</formula>
    </cfRule>
  </conditionalFormatting>
  <conditionalFormatting sqref="E75">
    <cfRule type="expression" dxfId="450" priority="204">
      <formula>COUNTIF(CountryALL,E75)=0</formula>
    </cfRule>
  </conditionalFormatting>
  <conditionalFormatting sqref="D75">
    <cfRule type="cellIs" dxfId="449" priority="203" operator="equal">
      <formula>""</formula>
    </cfRule>
  </conditionalFormatting>
  <conditionalFormatting sqref="F75">
    <cfRule type="expression" dxfId="448" priority="201">
      <formula>COUNTIF(Role_Code,F75)=0</formula>
    </cfRule>
  </conditionalFormatting>
  <conditionalFormatting sqref="Q76">
    <cfRule type="containsText" dxfId="447" priority="200" operator="containsText" text="Error">
      <formula>NOT(ISERROR(SEARCH("Error",Q76)))</formula>
    </cfRule>
  </conditionalFormatting>
  <conditionalFormatting sqref="P76">
    <cfRule type="expression" dxfId="446" priority="197">
      <formula>N76&gt;(M76-L76)+1</formula>
    </cfRule>
  </conditionalFormatting>
  <conditionalFormatting sqref="E76">
    <cfRule type="expression" dxfId="445" priority="199">
      <formula>COUNTIF(CountryALL,E76)=0</formula>
    </cfRule>
  </conditionalFormatting>
  <conditionalFormatting sqref="D76">
    <cfRule type="cellIs" dxfId="444" priority="198" operator="equal">
      <formula>""</formula>
    </cfRule>
  </conditionalFormatting>
  <conditionalFormatting sqref="F76">
    <cfRule type="expression" dxfId="443" priority="196">
      <formula>COUNTIF(Role_Code,F76)=0</formula>
    </cfRule>
  </conditionalFormatting>
  <conditionalFormatting sqref="Q14">
    <cfRule type="containsText" dxfId="442" priority="190" operator="containsText" text="Error">
      <formula>NOT(ISERROR(SEARCH("Error",Q14)))</formula>
    </cfRule>
  </conditionalFormatting>
  <conditionalFormatting sqref="P14">
    <cfRule type="expression" dxfId="441" priority="187">
      <formula>N14&gt;(M14-L14)+1</formula>
    </cfRule>
  </conditionalFormatting>
  <conditionalFormatting sqref="E14">
    <cfRule type="expression" dxfId="440" priority="189">
      <formula>COUNTIF(CountryALL,E14)=0</formula>
    </cfRule>
  </conditionalFormatting>
  <conditionalFormatting sqref="D14">
    <cfRule type="cellIs" dxfId="439" priority="188" operator="equal">
      <formula>""</formula>
    </cfRule>
  </conditionalFormatting>
  <conditionalFormatting sqref="F14">
    <cfRule type="expression" dxfId="438" priority="186">
      <formula>COUNTIF(Role_Code,F14)=0</formula>
    </cfRule>
  </conditionalFormatting>
  <conditionalFormatting sqref="Q24">
    <cfRule type="containsText" dxfId="437" priority="185" operator="containsText" text="Error">
      <formula>NOT(ISERROR(SEARCH("Error",Q24)))</formula>
    </cfRule>
  </conditionalFormatting>
  <conditionalFormatting sqref="P24">
    <cfRule type="expression" dxfId="436" priority="182">
      <formula>N24&gt;(M24-L24)+1</formula>
    </cfRule>
  </conditionalFormatting>
  <conditionalFormatting sqref="E24">
    <cfRule type="expression" dxfId="435" priority="184">
      <formula>COUNTIF(CountryALL,E24)=0</formula>
    </cfRule>
  </conditionalFormatting>
  <conditionalFormatting sqref="D24">
    <cfRule type="cellIs" dxfId="434" priority="183" operator="equal">
      <formula>""</formula>
    </cfRule>
  </conditionalFormatting>
  <conditionalFormatting sqref="F24">
    <cfRule type="expression" dxfId="433" priority="181">
      <formula>COUNTIF(Role_Code,F24)=0</formula>
    </cfRule>
  </conditionalFormatting>
  <conditionalFormatting sqref="Q65">
    <cfRule type="containsText" dxfId="432" priority="175" operator="containsText" text="Error">
      <formula>NOT(ISERROR(SEARCH("Error",Q65)))</formula>
    </cfRule>
  </conditionalFormatting>
  <conditionalFormatting sqref="P65">
    <cfRule type="expression" dxfId="431" priority="172">
      <formula>N65&gt;(M65-L65)+1</formula>
    </cfRule>
  </conditionalFormatting>
  <conditionalFormatting sqref="E65">
    <cfRule type="expression" dxfId="430" priority="174">
      <formula>COUNTIF(CountryALL,E65)=0</formula>
    </cfRule>
  </conditionalFormatting>
  <conditionalFormatting sqref="D65">
    <cfRule type="cellIs" dxfId="429" priority="173" operator="equal">
      <formula>""</formula>
    </cfRule>
  </conditionalFormatting>
  <conditionalFormatting sqref="F65">
    <cfRule type="expression" dxfId="428" priority="171">
      <formula>COUNTIF(Role_Code,F65)=0</formula>
    </cfRule>
  </conditionalFormatting>
  <conditionalFormatting sqref="Q27">
    <cfRule type="containsText" dxfId="427" priority="165" operator="containsText" text="Error">
      <formula>NOT(ISERROR(SEARCH("Error",Q27)))</formula>
    </cfRule>
  </conditionalFormatting>
  <conditionalFormatting sqref="P27">
    <cfRule type="expression" dxfId="426" priority="162">
      <formula>N27&gt;(M27-L27)+1</formula>
    </cfRule>
  </conditionalFormatting>
  <conditionalFormatting sqref="E27">
    <cfRule type="expression" dxfId="425" priority="164">
      <formula>COUNTIF(CountryALL,E27)=0</formula>
    </cfRule>
  </conditionalFormatting>
  <conditionalFormatting sqref="D27">
    <cfRule type="cellIs" dxfId="424" priority="163" operator="equal">
      <formula>""</formula>
    </cfRule>
  </conditionalFormatting>
  <conditionalFormatting sqref="F27">
    <cfRule type="expression" dxfId="423" priority="161">
      <formula>COUNTIF(Role_Code,F27)=0</formula>
    </cfRule>
  </conditionalFormatting>
  <conditionalFormatting sqref="Q32">
    <cfRule type="containsText" dxfId="422" priority="150" operator="containsText" text="Error">
      <formula>NOT(ISERROR(SEARCH("Error",Q32)))</formula>
    </cfRule>
  </conditionalFormatting>
  <conditionalFormatting sqref="P32">
    <cfRule type="expression" dxfId="421" priority="147">
      <formula>N32&gt;(M32-L32)+1</formula>
    </cfRule>
  </conditionalFormatting>
  <conditionalFormatting sqref="E32">
    <cfRule type="expression" dxfId="420" priority="149">
      <formula>COUNTIF(CountryALL,E32)=0</formula>
    </cfRule>
  </conditionalFormatting>
  <conditionalFormatting sqref="D32">
    <cfRule type="cellIs" dxfId="419" priority="148" operator="equal">
      <formula>""</formula>
    </cfRule>
  </conditionalFormatting>
  <conditionalFormatting sqref="F32">
    <cfRule type="expression" dxfId="418" priority="146">
      <formula>COUNTIF(Role_Code,F32)=0</formula>
    </cfRule>
  </conditionalFormatting>
  <conditionalFormatting sqref="Q34">
    <cfRule type="containsText" dxfId="417" priority="145" operator="containsText" text="Error">
      <formula>NOT(ISERROR(SEARCH("Error",Q34)))</formula>
    </cfRule>
  </conditionalFormatting>
  <conditionalFormatting sqref="P34">
    <cfRule type="expression" dxfId="416" priority="142">
      <formula>N34&gt;(M34-L34)+1</formula>
    </cfRule>
  </conditionalFormatting>
  <conditionalFormatting sqref="E34">
    <cfRule type="expression" dxfId="415" priority="144">
      <formula>COUNTIF(CountryALL,E34)=0</formula>
    </cfRule>
  </conditionalFormatting>
  <conditionalFormatting sqref="D34">
    <cfRule type="cellIs" dxfId="414" priority="143" operator="equal">
      <formula>""</formula>
    </cfRule>
  </conditionalFormatting>
  <conditionalFormatting sqref="F34">
    <cfRule type="expression" dxfId="413" priority="141">
      <formula>COUNTIF(Role_Code,F34)=0</formula>
    </cfRule>
  </conditionalFormatting>
  <conditionalFormatting sqref="Q38">
    <cfRule type="containsText" dxfId="412" priority="140" operator="containsText" text="Error">
      <formula>NOT(ISERROR(SEARCH("Error",Q38)))</formula>
    </cfRule>
  </conditionalFormatting>
  <conditionalFormatting sqref="P38">
    <cfRule type="expression" dxfId="411" priority="137">
      <formula>N38&gt;(M38-L38)+1</formula>
    </cfRule>
  </conditionalFormatting>
  <conditionalFormatting sqref="E38">
    <cfRule type="expression" dxfId="410" priority="139">
      <formula>COUNTIF(CountryALL,E38)=0</formula>
    </cfRule>
  </conditionalFormatting>
  <conditionalFormatting sqref="D38">
    <cfRule type="cellIs" dxfId="409" priority="138" operator="equal">
      <formula>""</formula>
    </cfRule>
  </conditionalFormatting>
  <conditionalFormatting sqref="F38">
    <cfRule type="expression" dxfId="408" priority="136">
      <formula>COUNTIF(Role_Code,F38)=0</formula>
    </cfRule>
  </conditionalFormatting>
  <conditionalFormatting sqref="Q39">
    <cfRule type="containsText" dxfId="407" priority="135" operator="containsText" text="Error">
      <formula>NOT(ISERROR(SEARCH("Error",Q39)))</formula>
    </cfRule>
  </conditionalFormatting>
  <conditionalFormatting sqref="P39">
    <cfRule type="expression" dxfId="406" priority="132">
      <formula>N39&gt;(M39-L39)+1</formula>
    </cfRule>
  </conditionalFormatting>
  <conditionalFormatting sqref="E39">
    <cfRule type="expression" dxfId="405" priority="134">
      <formula>COUNTIF(CountryALL,E39)=0</formula>
    </cfRule>
  </conditionalFormatting>
  <conditionalFormatting sqref="D39">
    <cfRule type="cellIs" dxfId="404" priority="133" operator="equal">
      <formula>""</formula>
    </cfRule>
  </conditionalFormatting>
  <conditionalFormatting sqref="F39">
    <cfRule type="expression" dxfId="403" priority="131">
      <formula>COUNTIF(Role_Code,F39)=0</formula>
    </cfRule>
  </conditionalFormatting>
  <conditionalFormatting sqref="Q40">
    <cfRule type="containsText" dxfId="402" priority="130" operator="containsText" text="Error">
      <formula>NOT(ISERROR(SEARCH("Error",Q40)))</formula>
    </cfRule>
  </conditionalFormatting>
  <conditionalFormatting sqref="P40">
    <cfRule type="expression" dxfId="401" priority="127">
      <formula>N40&gt;(M40-L40)+1</formula>
    </cfRule>
  </conditionalFormatting>
  <conditionalFormatting sqref="E40">
    <cfRule type="expression" dxfId="400" priority="129">
      <formula>COUNTIF(CountryALL,E40)=0</formula>
    </cfRule>
  </conditionalFormatting>
  <conditionalFormatting sqref="D40">
    <cfRule type="cellIs" dxfId="399" priority="128" operator="equal">
      <formula>""</formula>
    </cfRule>
  </conditionalFormatting>
  <conditionalFormatting sqref="F40">
    <cfRule type="expression" dxfId="398" priority="126">
      <formula>COUNTIF(Role_Code,F40)=0</formula>
    </cfRule>
  </conditionalFormatting>
  <conditionalFormatting sqref="Q42">
    <cfRule type="containsText" dxfId="397" priority="125" operator="containsText" text="Error">
      <formula>NOT(ISERROR(SEARCH("Error",Q42)))</formula>
    </cfRule>
  </conditionalFormatting>
  <conditionalFormatting sqref="P42">
    <cfRule type="expression" dxfId="396" priority="122">
      <formula>N42&gt;(M42-L42)+1</formula>
    </cfRule>
  </conditionalFormatting>
  <conditionalFormatting sqref="E42">
    <cfRule type="expression" dxfId="395" priority="124">
      <formula>COUNTIF(CountryALL,E42)=0</formula>
    </cfRule>
  </conditionalFormatting>
  <conditionalFormatting sqref="D42">
    <cfRule type="cellIs" dxfId="394" priority="123" operator="equal">
      <formula>""</formula>
    </cfRule>
  </conditionalFormatting>
  <conditionalFormatting sqref="F42">
    <cfRule type="expression" dxfId="393" priority="121">
      <formula>COUNTIF(Role_Code,F42)=0</formula>
    </cfRule>
  </conditionalFormatting>
  <conditionalFormatting sqref="Q43">
    <cfRule type="containsText" dxfId="392" priority="120" operator="containsText" text="Error">
      <formula>NOT(ISERROR(SEARCH("Error",Q43)))</formula>
    </cfRule>
  </conditionalFormatting>
  <conditionalFormatting sqref="P43">
    <cfRule type="expression" dxfId="391" priority="117">
      <formula>N43&gt;(M43-L43)+1</formula>
    </cfRule>
  </conditionalFormatting>
  <conditionalFormatting sqref="E43">
    <cfRule type="expression" dxfId="390" priority="119">
      <formula>COUNTIF(CountryALL,E43)=0</formula>
    </cfRule>
  </conditionalFormatting>
  <conditionalFormatting sqref="D43">
    <cfRule type="cellIs" dxfId="389" priority="118" operator="equal">
      <formula>""</formula>
    </cfRule>
  </conditionalFormatting>
  <conditionalFormatting sqref="F43">
    <cfRule type="expression" dxfId="388" priority="116">
      <formula>COUNTIF(Role_Code,F43)=0</formula>
    </cfRule>
  </conditionalFormatting>
  <conditionalFormatting sqref="Q44">
    <cfRule type="containsText" dxfId="387" priority="115" operator="containsText" text="Error">
      <formula>NOT(ISERROR(SEARCH("Error",Q44)))</formula>
    </cfRule>
  </conditionalFormatting>
  <conditionalFormatting sqref="P44">
    <cfRule type="expression" dxfId="386" priority="112">
      <formula>N44&gt;(M44-L44)+1</formula>
    </cfRule>
  </conditionalFormatting>
  <conditionalFormatting sqref="E44">
    <cfRule type="expression" dxfId="385" priority="114">
      <formula>COUNTIF(CountryALL,E44)=0</formula>
    </cfRule>
  </conditionalFormatting>
  <conditionalFormatting sqref="D44">
    <cfRule type="cellIs" dxfId="384" priority="113" operator="equal">
      <formula>""</formula>
    </cfRule>
  </conditionalFormatting>
  <conditionalFormatting sqref="F44">
    <cfRule type="expression" dxfId="383" priority="111">
      <formula>COUNTIF(Role_Code,F44)=0</formula>
    </cfRule>
  </conditionalFormatting>
  <conditionalFormatting sqref="Q45">
    <cfRule type="containsText" dxfId="382" priority="110" operator="containsText" text="Error">
      <formula>NOT(ISERROR(SEARCH("Error",Q45)))</formula>
    </cfRule>
  </conditionalFormatting>
  <conditionalFormatting sqref="P45">
    <cfRule type="expression" dxfId="381" priority="107">
      <formula>N45&gt;(M45-L45)+1</formula>
    </cfRule>
  </conditionalFormatting>
  <conditionalFormatting sqref="E45">
    <cfRule type="expression" dxfId="380" priority="109">
      <formula>COUNTIF(CountryALL,E45)=0</formula>
    </cfRule>
  </conditionalFormatting>
  <conditionalFormatting sqref="D45">
    <cfRule type="cellIs" dxfId="379" priority="108" operator="equal">
      <formula>""</formula>
    </cfRule>
  </conditionalFormatting>
  <conditionalFormatting sqref="F45">
    <cfRule type="expression" dxfId="378" priority="106">
      <formula>COUNTIF(Role_Code,F45)=0</formula>
    </cfRule>
  </conditionalFormatting>
  <conditionalFormatting sqref="Q46">
    <cfRule type="containsText" dxfId="377" priority="105" operator="containsText" text="Error">
      <formula>NOT(ISERROR(SEARCH("Error",Q46)))</formula>
    </cfRule>
  </conditionalFormatting>
  <conditionalFormatting sqref="P46">
    <cfRule type="expression" dxfId="376" priority="102">
      <formula>N46&gt;(M46-L46)+1</formula>
    </cfRule>
  </conditionalFormatting>
  <conditionalFormatting sqref="E46">
    <cfRule type="expression" dxfId="375" priority="104">
      <formula>COUNTIF(CountryALL,E46)=0</formula>
    </cfRule>
  </conditionalFormatting>
  <conditionalFormatting sqref="D46">
    <cfRule type="cellIs" dxfId="374" priority="103" operator="equal">
      <formula>""</formula>
    </cfRule>
  </conditionalFormatting>
  <conditionalFormatting sqref="F46">
    <cfRule type="expression" dxfId="373" priority="101">
      <formula>COUNTIF(Role_Code,F46)=0</formula>
    </cfRule>
  </conditionalFormatting>
  <conditionalFormatting sqref="Q47">
    <cfRule type="containsText" dxfId="372" priority="100" operator="containsText" text="Error">
      <formula>NOT(ISERROR(SEARCH("Error",Q47)))</formula>
    </cfRule>
  </conditionalFormatting>
  <conditionalFormatting sqref="P47">
    <cfRule type="expression" dxfId="371" priority="97">
      <formula>N47&gt;(M47-L47)+1</formula>
    </cfRule>
  </conditionalFormatting>
  <conditionalFormatting sqref="E47">
    <cfRule type="expression" dxfId="370" priority="99">
      <formula>COUNTIF(CountryALL,E47)=0</formula>
    </cfRule>
  </conditionalFormatting>
  <conditionalFormatting sqref="D47">
    <cfRule type="cellIs" dxfId="369" priority="98" operator="equal">
      <formula>""</formula>
    </cfRule>
  </conditionalFormatting>
  <conditionalFormatting sqref="F47">
    <cfRule type="expression" dxfId="368" priority="96">
      <formula>COUNTIF(Role_Code,F47)=0</formula>
    </cfRule>
  </conditionalFormatting>
  <conditionalFormatting sqref="Q35">
    <cfRule type="containsText" dxfId="367" priority="95" operator="containsText" text="Error">
      <formula>NOT(ISERROR(SEARCH("Error",Q35)))</formula>
    </cfRule>
  </conditionalFormatting>
  <conditionalFormatting sqref="P35">
    <cfRule type="expression" dxfId="366" priority="92">
      <formula>N35&gt;(M35-L35)+1</formula>
    </cfRule>
  </conditionalFormatting>
  <conditionalFormatting sqref="E35">
    <cfRule type="expression" dxfId="365" priority="94">
      <formula>COUNTIF(CountryALL,E35)=0</formula>
    </cfRule>
  </conditionalFormatting>
  <conditionalFormatting sqref="D35">
    <cfRule type="cellIs" dxfId="364" priority="93" operator="equal">
      <formula>""</formula>
    </cfRule>
  </conditionalFormatting>
  <conditionalFormatting sqref="F35">
    <cfRule type="expression" dxfId="363" priority="91">
      <formula>COUNTIF(Role_Code,F35)=0</formula>
    </cfRule>
  </conditionalFormatting>
  <conditionalFormatting sqref="Q36">
    <cfRule type="containsText" dxfId="362" priority="80" operator="containsText" text="Error">
      <formula>NOT(ISERROR(SEARCH("Error",Q36)))</formula>
    </cfRule>
  </conditionalFormatting>
  <conditionalFormatting sqref="P36">
    <cfRule type="expression" dxfId="361" priority="77">
      <formula>N36&gt;(M36-L36)+1</formula>
    </cfRule>
  </conditionalFormatting>
  <conditionalFormatting sqref="E36">
    <cfRule type="expression" dxfId="360" priority="79">
      <formula>COUNTIF(CountryALL,E36)=0</formula>
    </cfRule>
  </conditionalFormatting>
  <conditionalFormatting sqref="D36">
    <cfRule type="cellIs" dxfId="359" priority="78" operator="equal">
      <formula>""</formula>
    </cfRule>
  </conditionalFormatting>
  <conditionalFormatting sqref="F36">
    <cfRule type="expression" dxfId="358" priority="76">
      <formula>COUNTIF(Role_Code,F36)=0</formula>
    </cfRule>
  </conditionalFormatting>
  <conditionalFormatting sqref="Q41">
    <cfRule type="containsText" dxfId="357" priority="75" operator="containsText" text="Error">
      <formula>NOT(ISERROR(SEARCH("Error",Q41)))</formula>
    </cfRule>
  </conditionalFormatting>
  <conditionalFormatting sqref="P41">
    <cfRule type="expression" dxfId="356" priority="72">
      <formula>N41&gt;(M41-L41)+1</formula>
    </cfRule>
  </conditionalFormatting>
  <conditionalFormatting sqref="E41">
    <cfRule type="expression" dxfId="355" priority="74">
      <formula>COUNTIF(CountryALL,E41)=0</formula>
    </cfRule>
  </conditionalFormatting>
  <conditionalFormatting sqref="D41">
    <cfRule type="cellIs" dxfId="354" priority="73" operator="equal">
      <formula>""</formula>
    </cfRule>
  </conditionalFormatting>
  <conditionalFormatting sqref="F41">
    <cfRule type="expression" dxfId="353" priority="71">
      <formula>COUNTIF(Role_Code,F41)=0</formula>
    </cfRule>
  </conditionalFormatting>
  <conditionalFormatting sqref="Q52">
    <cfRule type="containsText" dxfId="352" priority="70" operator="containsText" text="Error">
      <formula>NOT(ISERROR(SEARCH("Error",Q52)))</formula>
    </cfRule>
  </conditionalFormatting>
  <conditionalFormatting sqref="P52">
    <cfRule type="expression" dxfId="351" priority="67">
      <formula>N52&gt;(M52-L52)+1</formula>
    </cfRule>
  </conditionalFormatting>
  <conditionalFormatting sqref="E52">
    <cfRule type="expression" dxfId="350" priority="69">
      <formula>COUNTIF(CountryALL,E52)=0</formula>
    </cfRule>
  </conditionalFormatting>
  <conditionalFormatting sqref="D52">
    <cfRule type="cellIs" dxfId="349" priority="68" operator="equal">
      <formula>""</formula>
    </cfRule>
  </conditionalFormatting>
  <conditionalFormatting sqref="F52">
    <cfRule type="expression" dxfId="348" priority="66">
      <formula>COUNTIF(Role_Code,F52)=0</formula>
    </cfRule>
  </conditionalFormatting>
  <conditionalFormatting sqref="Q53">
    <cfRule type="containsText" dxfId="347" priority="65" operator="containsText" text="Error">
      <formula>NOT(ISERROR(SEARCH("Error",Q53)))</formula>
    </cfRule>
  </conditionalFormatting>
  <conditionalFormatting sqref="P53">
    <cfRule type="expression" dxfId="346" priority="62">
      <formula>N53&gt;(M53-L53)+1</formula>
    </cfRule>
  </conditionalFormatting>
  <conditionalFormatting sqref="E53">
    <cfRule type="expression" dxfId="345" priority="64">
      <formula>COUNTIF(CountryALL,E53)=0</formula>
    </cfRule>
  </conditionalFormatting>
  <conditionalFormatting sqref="D53">
    <cfRule type="cellIs" dxfId="344" priority="63" operator="equal">
      <formula>""</formula>
    </cfRule>
  </conditionalFormatting>
  <conditionalFormatting sqref="F53">
    <cfRule type="expression" dxfId="343" priority="61">
      <formula>COUNTIF(Role_Code,F53)=0</formula>
    </cfRule>
  </conditionalFormatting>
  <conditionalFormatting sqref="Q63">
    <cfRule type="containsText" dxfId="342" priority="60" operator="containsText" text="Error">
      <formula>NOT(ISERROR(SEARCH("Error",Q63)))</formula>
    </cfRule>
  </conditionalFormatting>
  <conditionalFormatting sqref="P63">
    <cfRule type="expression" dxfId="341" priority="57">
      <formula>N63&gt;(M63-L63)+1</formula>
    </cfRule>
  </conditionalFormatting>
  <conditionalFormatting sqref="E63">
    <cfRule type="expression" dxfId="340" priority="59">
      <formula>COUNTIF(CountryALL,E63)=0</formula>
    </cfRule>
  </conditionalFormatting>
  <conditionalFormatting sqref="D63">
    <cfRule type="cellIs" dxfId="339" priority="58" operator="equal">
      <formula>""</formula>
    </cfRule>
  </conditionalFormatting>
  <conditionalFormatting sqref="F63">
    <cfRule type="expression" dxfId="338" priority="56">
      <formula>COUNTIF(Role_Code,F63)=0</formula>
    </cfRule>
  </conditionalFormatting>
  <conditionalFormatting sqref="Q68">
    <cfRule type="containsText" dxfId="337" priority="50" operator="containsText" text="Error">
      <formula>NOT(ISERROR(SEARCH("Error",Q68)))</formula>
    </cfRule>
  </conditionalFormatting>
  <conditionalFormatting sqref="P68">
    <cfRule type="expression" dxfId="336" priority="47">
      <formula>N68&gt;(M68-L68)+1</formula>
    </cfRule>
  </conditionalFormatting>
  <conditionalFormatting sqref="E68">
    <cfRule type="expression" dxfId="335" priority="49">
      <formula>COUNTIF(CountryALL,E68)=0</formula>
    </cfRule>
  </conditionalFormatting>
  <conditionalFormatting sqref="D68">
    <cfRule type="cellIs" dxfId="334" priority="48" operator="equal">
      <formula>""</formula>
    </cfRule>
  </conditionalFormatting>
  <conditionalFormatting sqref="F68">
    <cfRule type="expression" dxfId="333" priority="46">
      <formula>COUNTIF(Role_Code,F68)=0</formula>
    </cfRule>
  </conditionalFormatting>
  <conditionalFormatting sqref="Q78">
    <cfRule type="containsText" dxfId="332" priority="40" operator="containsText" text="Error">
      <formula>NOT(ISERROR(SEARCH("Error",Q78)))</formula>
    </cfRule>
  </conditionalFormatting>
  <conditionalFormatting sqref="P78">
    <cfRule type="expression" dxfId="331" priority="37">
      <formula>N78&gt;(M78-L78)+1</formula>
    </cfRule>
  </conditionalFormatting>
  <conditionalFormatting sqref="E78">
    <cfRule type="expression" dxfId="330" priority="39">
      <formula>COUNTIF(CountryALL,E78)=0</formula>
    </cfRule>
  </conditionalFormatting>
  <conditionalFormatting sqref="D78">
    <cfRule type="cellIs" dxfId="329" priority="38" operator="equal">
      <formula>""</formula>
    </cfRule>
  </conditionalFormatting>
  <conditionalFormatting sqref="F78">
    <cfRule type="expression" dxfId="328" priority="36">
      <formula>COUNTIF(Role_Code,F78)=0</formula>
    </cfRule>
  </conditionalFormatting>
  <conditionalFormatting sqref="Q33">
    <cfRule type="containsText" dxfId="327" priority="35" operator="containsText" text="Error">
      <formula>NOT(ISERROR(SEARCH("Error",Q33)))</formula>
    </cfRule>
  </conditionalFormatting>
  <conditionalFormatting sqref="P33">
    <cfRule type="expression" dxfId="326" priority="32">
      <formula>N33&gt;(M33-L33)+1</formula>
    </cfRule>
  </conditionalFormatting>
  <conditionalFormatting sqref="E33">
    <cfRule type="expression" dxfId="325" priority="34">
      <formula>COUNTIF(CountryALL,E33)=0</formula>
    </cfRule>
  </conditionalFormatting>
  <conditionalFormatting sqref="D33">
    <cfRule type="cellIs" dxfId="324" priority="33" operator="equal">
      <formula>""</formula>
    </cfRule>
  </conditionalFormatting>
  <conditionalFormatting sqref="F33">
    <cfRule type="expression" dxfId="323" priority="31">
      <formula>COUNTIF(Role_Code,F33)=0</formula>
    </cfRule>
  </conditionalFormatting>
  <conditionalFormatting sqref="Q11">
    <cfRule type="containsText" dxfId="322" priority="25" operator="containsText" text="Error">
      <formula>NOT(ISERROR(SEARCH("Error",Q11)))</formula>
    </cfRule>
  </conditionalFormatting>
  <conditionalFormatting sqref="P11">
    <cfRule type="expression" dxfId="321" priority="22">
      <formula>N11&gt;(M11-L11)+1</formula>
    </cfRule>
  </conditionalFormatting>
  <conditionalFormatting sqref="E11">
    <cfRule type="expression" dxfId="320" priority="24">
      <formula>COUNTIF(CountryALL,E11)=0</formula>
    </cfRule>
  </conditionalFormatting>
  <conditionalFormatting sqref="D11">
    <cfRule type="cellIs" dxfId="319" priority="23" operator="equal">
      <formula>""</formula>
    </cfRule>
  </conditionalFormatting>
  <conditionalFormatting sqref="F11">
    <cfRule type="expression" dxfId="318" priority="21">
      <formula>COUNTIF(Role_Code,F11)=0</formula>
    </cfRule>
  </conditionalFormatting>
  <conditionalFormatting sqref="Q22">
    <cfRule type="containsText" dxfId="317" priority="20" operator="containsText" text="Error">
      <formula>NOT(ISERROR(SEARCH("Error",Q22)))</formula>
    </cfRule>
  </conditionalFormatting>
  <conditionalFormatting sqref="P22">
    <cfRule type="expression" dxfId="316" priority="17">
      <formula>N22&gt;(M22-L22)+1</formula>
    </cfRule>
  </conditionalFormatting>
  <conditionalFormatting sqref="E22">
    <cfRule type="expression" dxfId="315" priority="19">
      <formula>COUNTIF(CountryALL,E22)=0</formula>
    </cfRule>
  </conditionalFormatting>
  <conditionalFormatting sqref="D22">
    <cfRule type="cellIs" dxfId="314" priority="18" operator="equal">
      <formula>""</formula>
    </cfRule>
  </conditionalFormatting>
  <conditionalFormatting sqref="F22">
    <cfRule type="expression" dxfId="313" priority="16">
      <formula>COUNTIF(Role_Code,F22)=0</formula>
    </cfRule>
  </conditionalFormatting>
  <conditionalFormatting sqref="Q37">
    <cfRule type="containsText" dxfId="312" priority="15" operator="containsText" text="Error">
      <formula>NOT(ISERROR(SEARCH("Error",Q37)))</formula>
    </cfRule>
  </conditionalFormatting>
  <conditionalFormatting sqref="P37">
    <cfRule type="expression" dxfId="311" priority="12">
      <formula>N37&gt;(M37-L37)+1</formula>
    </cfRule>
  </conditionalFormatting>
  <conditionalFormatting sqref="E37">
    <cfRule type="expression" dxfId="310" priority="14">
      <formula>COUNTIF(CountryALL,E37)=0</formula>
    </cfRule>
  </conditionalFormatting>
  <conditionalFormatting sqref="D37">
    <cfRule type="cellIs" dxfId="309" priority="13" operator="equal">
      <formula>""</formula>
    </cfRule>
  </conditionalFormatting>
  <conditionalFormatting sqref="F37">
    <cfRule type="expression" dxfId="308" priority="11">
      <formula>COUNTIF(Role_Code,F37)=0</formula>
    </cfRule>
  </conditionalFormatting>
  <conditionalFormatting sqref="Q49">
    <cfRule type="containsText" dxfId="307" priority="10" operator="containsText" text="Error">
      <formula>NOT(ISERROR(SEARCH("Error",Q49)))</formula>
    </cfRule>
  </conditionalFormatting>
  <conditionalFormatting sqref="P49">
    <cfRule type="expression" dxfId="306" priority="7">
      <formula>N49&gt;(M49-L49)+1</formula>
    </cfRule>
  </conditionalFormatting>
  <conditionalFormatting sqref="E49">
    <cfRule type="expression" dxfId="305" priority="9">
      <formula>COUNTIF(CountryALL,E49)=0</formula>
    </cfRule>
  </conditionalFormatting>
  <conditionalFormatting sqref="D49">
    <cfRule type="cellIs" dxfId="304" priority="8" operator="equal">
      <formula>""</formula>
    </cfRule>
  </conditionalFormatting>
  <conditionalFormatting sqref="F49">
    <cfRule type="expression" dxfId="303" priority="6">
      <formula>COUNTIF(Role_Code,F49)=0</formula>
    </cfRule>
  </conditionalFormatting>
  <conditionalFormatting sqref="Q61">
    <cfRule type="containsText" dxfId="302" priority="5" operator="containsText" text="Error">
      <formula>NOT(ISERROR(SEARCH("Error",Q61)))</formula>
    </cfRule>
  </conditionalFormatting>
  <conditionalFormatting sqref="P61">
    <cfRule type="expression" dxfId="301" priority="2">
      <formula>N61&gt;(M61-L61)+1</formula>
    </cfRule>
  </conditionalFormatting>
  <conditionalFormatting sqref="E61">
    <cfRule type="expression" dxfId="300" priority="4">
      <formula>COUNTIF(CountryALL,E61)=0</formula>
    </cfRule>
  </conditionalFormatting>
  <conditionalFormatting sqref="D61">
    <cfRule type="cellIs" dxfId="299" priority="3" operator="equal">
      <formula>""</formula>
    </cfRule>
  </conditionalFormatting>
  <conditionalFormatting sqref="F61">
    <cfRule type="expression" dxfId="298" priority="1">
      <formula>COUNTIF(Role_Code,F61)=0</formula>
    </cfRule>
  </conditionalFormatting>
  <dataValidations count="10">
    <dataValidation type="whole" allowBlank="1" showInputMessage="1" showErrorMessage="1" error="Format error (Whole number only)" prompt="Please encode number of days (Whole number only)" sqref="N9:N78">
      <formula1>0</formula1>
      <formula2>1000000</formula2>
    </dataValidation>
    <dataValidation type="list" allowBlank="1" showInputMessage="1" showErrorMessage="1" error="Click arrow to select Work Package" prompt="Click arrow to select Work Package" sqref="B9:B78">
      <formula1>WorkPackage</formula1>
    </dataValidation>
    <dataValidation type="list" allowBlank="1" showInputMessage="1" showErrorMessage="1" error="Click arrow to select Partner N°" prompt="Click arrow to select Partner N°" sqref="C9:C78">
      <formula1>PartnerN°</formula1>
    </dataValidation>
    <dataValidation type="list" allowBlank="1" showInputMessage="1" showErrorMessage="1" error="Please click arrow to select Category of Tasks" prompt="Please click arrow to select Category of Tasks" sqref="I9:I78">
      <formula1>StaffCat</formula1>
    </dataValidation>
    <dataValidation allowBlank="1" showInputMessage="1" showErrorMessage="1" error="Please encode short description and Results Achieved" prompt="Please encode short description and Results Achieved" sqref="K9:K78"/>
    <dataValidation allowBlank="1" showInputMessage="1" showErrorMessage="1" error="Please encode name of the staff member" prompt="Please encode name of the staff member" sqref="H9:H78"/>
    <dataValidation allowBlank="1" showInputMessage="1" showErrorMessage="1" error="Please encode supporting document ref." prompt="Please encode supporting document ref." sqref="G9:G78"/>
    <dataValidation type="date" allowBlank="1" showInputMessage="1" showErrorMessage="1" error="Please encode date (format must be dd/mm/yy)" prompt="Please encode date (format must be dd/mm/yy)" sqref="L9:M78">
      <formula1>36526</formula1>
      <formula2>55153</formula2>
    </dataValidation>
    <dataValidation allowBlank="1" showInputMessage="1" errorTitle="Warning: Max Ceilings exceeded" error="Please be aware that this exceed the &quot;Ceilings&quot; for the maximum amounts for staff cost by country" sqref="O9:O78"/>
    <dataValidation allowBlank="1" showInputMessage="1" showErrorMessage="1" error="Please encode Activity Number_x000a_(as in the table of Activities and Results)" prompt="Please encode Activity Number_x000a_(as in the table of Activities and Results)" sqref="J9:J78"/>
  </dataValidations>
  <printOptions horizontalCentered="1"/>
  <pageMargins left="0.23622047244094491" right="0.23622047244094491" top="0.39370078740157483" bottom="0.74803149606299213" header="0.31496062992125984" footer="0.31496062992125984"/>
  <pageSetup paperSize="9" scale="30"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38100</xdr:colOff>
                    <xdr:row>1</xdr:row>
                    <xdr:rowOff>57150</xdr:rowOff>
                  </from>
                  <to>
                    <xdr:col>1</xdr:col>
                    <xdr:colOff>1479550</xdr:colOff>
                    <xdr:row>1</xdr:row>
                    <xdr:rowOff>527050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1524000</xdr:colOff>
                    <xdr:row>1</xdr:row>
                    <xdr:rowOff>57150</xdr:rowOff>
                  </from>
                  <to>
                    <xdr:col>2</xdr:col>
                    <xdr:colOff>114300</xdr:colOff>
                    <xdr:row>1</xdr:row>
                    <xdr:rowOff>527050</xdr:rowOff>
                  </to>
                </anchor>
              </controlPr>
            </control>
          </mc:Choice>
        </mc:AlternateContent>
        <mc:AlternateContent xmlns:mc="http://schemas.openxmlformats.org/markup-compatibility/2006">
          <mc:Choice Requires="x14">
            <control shapeId="3231" r:id="rId6" name="Button 3">
              <controlPr defaultSize="0" print="0" autoFill="0" autoPict="0" macro="[0]!DuplicateRow">
                <anchor moveWithCells="1">
                  <from>
                    <xdr:col>2</xdr:col>
                    <xdr:colOff>165100</xdr:colOff>
                    <xdr:row>1</xdr:row>
                    <xdr:rowOff>57150</xdr:rowOff>
                  </from>
                  <to>
                    <xdr:col>3</xdr:col>
                    <xdr:colOff>876300</xdr:colOff>
                    <xdr:row>1</xdr:row>
                    <xdr:rowOff>527050</xdr:rowOff>
                  </to>
                </anchor>
              </controlPr>
            </control>
          </mc:Choice>
        </mc:AlternateContent>
        <mc:AlternateContent xmlns:mc="http://schemas.openxmlformats.org/markup-compatibility/2006">
          <mc:Choice Requires="x14">
            <control shapeId="3234" r:id="rId7" name="Button 162">
              <controlPr defaultSize="0" print="0" autoFill="0" autoPict="0" macro="[0]!Export_Staff">
                <anchor moveWithCells="1">
                  <from>
                    <xdr:col>3</xdr:col>
                    <xdr:colOff>914400</xdr:colOff>
                    <xdr:row>1</xdr:row>
                    <xdr:rowOff>57150</xdr:rowOff>
                  </from>
                  <to>
                    <xdr:col>3</xdr:col>
                    <xdr:colOff>2343150</xdr:colOff>
                    <xdr:row>1</xdr:row>
                    <xdr:rowOff>527050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59999389629810485"/>
    <pageSetUpPr fitToPage="1"/>
  </sheetPr>
  <dimension ref="B1:Z16"/>
  <sheetViews>
    <sheetView showGridLines="0" zoomScale="70" zoomScaleNormal="70" zoomScaleSheetLayoutView="55" workbookViewId="0">
      <pane ySplit="9" topLeftCell="A10" activePane="bottomLeft" state="frozen"/>
      <selection pane="bottomLeft" activeCell="B10" sqref="B10"/>
    </sheetView>
  </sheetViews>
  <sheetFormatPr baseColWidth="10" defaultColWidth="9.1796875" defaultRowHeight="18" x14ac:dyDescent="0.4"/>
  <cols>
    <col min="1" max="1" width="1.7265625" style="58" customWidth="1"/>
    <col min="2" max="2" width="42.7265625" style="58" customWidth="1"/>
    <col min="3" max="3" width="10.7265625" style="58" customWidth="1"/>
    <col min="4" max="5" width="50.7265625" style="58" customWidth="1"/>
    <col min="6" max="6" width="25.7265625" style="180" customWidth="1"/>
    <col min="7" max="7" width="25.7265625" style="58" customWidth="1"/>
    <col min="8" max="8" width="30.7265625" style="58" customWidth="1"/>
    <col min="9" max="9" width="15.7265625" style="58" customWidth="1"/>
    <col min="10" max="10" width="50.7265625" style="58" customWidth="1"/>
    <col min="11" max="11" width="37.26953125" style="58" customWidth="1"/>
    <col min="12" max="13" width="30.7265625" style="58" customWidth="1"/>
    <col min="14" max="15" width="18.7265625" style="58" customWidth="1"/>
    <col min="16" max="17" width="15.7265625" style="58" customWidth="1"/>
    <col min="18" max="23" width="20.7265625" style="58" customWidth="1"/>
    <col min="24" max="24" width="11.7265625" style="58" customWidth="1"/>
    <col min="25" max="25" width="1.7265625" style="167" hidden="1" customWidth="1"/>
    <col min="26" max="26" width="1.7265625" style="58" hidden="1" customWidth="1"/>
    <col min="27" max="27" width="1.7265625" style="58" customWidth="1"/>
    <col min="28" max="16384" width="9.1796875" style="58"/>
  </cols>
  <sheetData>
    <row r="1" spans="2:26" ht="8.15" customHeight="1" x14ac:dyDescent="0.4"/>
    <row r="2" spans="2:26" s="155" customFormat="1" ht="45" customHeight="1" x14ac:dyDescent="0.4">
      <c r="B2" s="297" t="s">
        <v>382</v>
      </c>
      <c r="C2" s="297"/>
      <c r="D2" s="297"/>
      <c r="E2" s="297"/>
      <c r="F2" s="297"/>
      <c r="G2" s="297"/>
      <c r="H2" s="297"/>
      <c r="I2" s="297"/>
      <c r="J2" s="297"/>
      <c r="K2" s="297"/>
      <c r="L2" s="297"/>
      <c r="M2" s="297"/>
      <c r="N2" s="297"/>
      <c r="O2" s="297"/>
      <c r="P2" s="297"/>
      <c r="Q2" s="297"/>
      <c r="R2" s="298"/>
      <c r="S2" s="298"/>
      <c r="T2" s="298"/>
      <c r="U2" s="298"/>
      <c r="V2" s="298"/>
      <c r="W2" s="298"/>
      <c r="X2" s="298"/>
      <c r="Y2" s="166"/>
    </row>
    <row r="3" spans="2:26" s="155" customFormat="1" ht="8.15" customHeight="1" x14ac:dyDescent="0.4">
      <c r="B3" s="156"/>
      <c r="C3" s="157"/>
      <c r="D3" s="157"/>
      <c r="E3" s="157"/>
      <c r="F3" s="157"/>
      <c r="G3" s="157"/>
      <c r="H3" s="157"/>
      <c r="I3" s="157"/>
      <c r="J3" s="157"/>
      <c r="K3" s="157"/>
      <c r="L3" s="157"/>
      <c r="O3" s="129"/>
      <c r="R3" s="310" t="s">
        <v>394</v>
      </c>
      <c r="S3" s="301" t="s">
        <v>408</v>
      </c>
      <c r="T3" s="302"/>
      <c r="U3" s="302"/>
      <c r="V3" s="302"/>
      <c r="W3" s="302"/>
      <c r="X3" s="303"/>
      <c r="Y3" s="166"/>
    </row>
    <row r="4" spans="2:26" s="155" customFormat="1" ht="35.15" customHeight="1" x14ac:dyDescent="0.4">
      <c r="B4" s="299" t="s">
        <v>370</v>
      </c>
      <c r="C4" s="300"/>
      <c r="D4" s="187">
        <f>SUMIFS(U:U,Y:Y,1,X:X,"&lt;&gt;Error")</f>
        <v>0</v>
      </c>
      <c r="E4" s="158" t="str">
        <f>IF(D4&gt;ROUND('Final financial statement'!D13*1.1,2),"Exceeds Grant Awarded + 10%","")</f>
        <v/>
      </c>
      <c r="F4" s="158"/>
      <c r="N4" s="129"/>
      <c r="O4" s="129"/>
      <c r="P4" s="143"/>
      <c r="Q4" s="143"/>
      <c r="R4" s="311"/>
      <c r="S4" s="304"/>
      <c r="T4" s="305"/>
      <c r="U4" s="305"/>
      <c r="V4" s="305"/>
      <c r="W4" s="305"/>
      <c r="X4" s="306"/>
      <c r="Y4" s="166"/>
    </row>
    <row r="5" spans="2:26" s="155" customFormat="1" ht="35.15" customHeight="1" x14ac:dyDescent="0.4">
      <c r="B5" s="299" t="s">
        <v>371</v>
      </c>
      <c r="C5" s="300"/>
      <c r="D5" s="187">
        <f>SUMIFS(U:U,Y:Y,2,X:X,"&lt;&gt;Error")</f>
        <v>0</v>
      </c>
      <c r="E5" s="158" t="str">
        <f>IF(D5&gt;ROUND('Final financial statement'!D17*1.1,2),"Exceeds Grant Awarded + 10%","")</f>
        <v/>
      </c>
      <c r="F5" s="158"/>
      <c r="N5" s="129"/>
      <c r="O5" s="129"/>
      <c r="P5" s="143"/>
      <c r="Q5" s="143"/>
      <c r="R5" s="311"/>
      <c r="S5" s="304"/>
      <c r="T5" s="305"/>
      <c r="U5" s="305"/>
      <c r="V5" s="305"/>
      <c r="W5" s="305"/>
      <c r="X5" s="306"/>
      <c r="Y5" s="166"/>
    </row>
    <row r="6" spans="2:26" s="155" customFormat="1" ht="35.15" customHeight="1" x14ac:dyDescent="0.4">
      <c r="B6" s="299" t="s">
        <v>223</v>
      </c>
      <c r="C6" s="300"/>
      <c r="D6" s="187">
        <f>SUMIF(X:X,"&lt;&gt;Error",V:V)</f>
        <v>0</v>
      </c>
      <c r="E6" s="158" t="str">
        <f>IF(D6&gt;ROUND('Final financial statement'!D14*1.1,2),"Exceeds Grant Awarded + 10%","")</f>
        <v/>
      </c>
      <c r="F6" s="158"/>
      <c r="N6" s="129"/>
      <c r="O6" s="129"/>
      <c r="P6" s="143"/>
      <c r="Q6" s="143"/>
      <c r="R6" s="311"/>
      <c r="S6" s="304"/>
      <c r="T6" s="305"/>
      <c r="U6" s="305"/>
      <c r="V6" s="305"/>
      <c r="W6" s="305"/>
      <c r="X6" s="306"/>
      <c r="Y6" s="166"/>
    </row>
    <row r="7" spans="2:26" s="155" customFormat="1" ht="8.15" customHeight="1" x14ac:dyDescent="0.4">
      <c r="B7" s="159"/>
      <c r="C7" s="160"/>
      <c r="D7" s="160"/>
      <c r="E7" s="160"/>
      <c r="F7" s="160"/>
      <c r="G7" s="160"/>
      <c r="H7" s="160"/>
      <c r="I7" s="160"/>
      <c r="J7" s="160"/>
      <c r="K7" s="160"/>
      <c r="L7" s="160"/>
      <c r="N7" s="129"/>
      <c r="O7" s="129"/>
      <c r="P7" s="143"/>
      <c r="Q7" s="144"/>
      <c r="R7" s="312"/>
      <c r="S7" s="307"/>
      <c r="T7" s="308"/>
      <c r="U7" s="308"/>
      <c r="V7" s="308"/>
      <c r="W7" s="308"/>
      <c r="X7" s="309"/>
      <c r="Y7" s="166"/>
    </row>
    <row r="8" spans="2:26" s="161" customFormat="1" ht="90" x14ac:dyDescent="0.4">
      <c r="B8" s="204" t="s">
        <v>151</v>
      </c>
      <c r="C8" s="204" t="s">
        <v>142</v>
      </c>
      <c r="D8" s="204" t="s">
        <v>489</v>
      </c>
      <c r="E8" s="204" t="s">
        <v>486</v>
      </c>
      <c r="F8" s="204" t="s">
        <v>487</v>
      </c>
      <c r="G8" s="204" t="s">
        <v>203</v>
      </c>
      <c r="H8" s="204" t="s">
        <v>204</v>
      </c>
      <c r="I8" s="204" t="s">
        <v>476</v>
      </c>
      <c r="J8" s="203" t="s">
        <v>490</v>
      </c>
      <c r="K8" s="203" t="s">
        <v>491</v>
      </c>
      <c r="L8" s="203" t="s">
        <v>205</v>
      </c>
      <c r="M8" s="131" t="s">
        <v>206</v>
      </c>
      <c r="N8" s="132" t="s">
        <v>494</v>
      </c>
      <c r="O8" s="132" t="s">
        <v>495</v>
      </c>
      <c r="P8" s="133" t="s">
        <v>213</v>
      </c>
      <c r="Q8" s="133" t="s">
        <v>500</v>
      </c>
      <c r="R8" s="142" t="s">
        <v>501</v>
      </c>
      <c r="S8" s="152" t="s">
        <v>502</v>
      </c>
      <c r="T8" s="152" t="s">
        <v>411</v>
      </c>
      <c r="U8" s="142" t="s">
        <v>503</v>
      </c>
      <c r="V8" s="141" t="s">
        <v>504</v>
      </c>
      <c r="W8" s="141" t="s">
        <v>505</v>
      </c>
      <c r="X8" s="141" t="s">
        <v>184</v>
      </c>
      <c r="Y8" s="166"/>
    </row>
    <row r="9" spans="2:26" s="24" customFormat="1" hidden="1" x14ac:dyDescent="0.35">
      <c r="B9" s="154"/>
      <c r="C9" s="22"/>
      <c r="D9" s="57" t="str">
        <f>IFERROR(IF(VLOOKUP(C9,PartnerN°Ref,2,FALSE)=0,"",VLOOKUP(C9,PartnerN°Ref,2,FALSE)),"")</f>
        <v/>
      </c>
      <c r="E9" s="57" t="str">
        <f>IFERROR(IF(VLOOKUP(C9,PartnerN°Ref,3,FALSE)=0,"",VLOOKUP(C9,PartnerN°Ref,3,FALSE)),"")</f>
        <v/>
      </c>
      <c r="F9" s="174" t="str">
        <f>IFERROR(IF(VLOOKUP(C9,PartnerN°Ref,4,FALSE)=0,"",VLOOKUP(C9,PartnerN°Ref,4,FALSE)),"")</f>
        <v/>
      </c>
      <c r="G9" s="154"/>
      <c r="H9" s="154"/>
      <c r="I9" s="130"/>
      <c r="J9" s="149"/>
      <c r="K9" s="149"/>
      <c r="L9" s="163"/>
      <c r="M9" s="164"/>
      <c r="N9" s="134"/>
      <c r="O9" s="134"/>
      <c r="P9" s="135">
        <v>0</v>
      </c>
      <c r="Q9" s="136">
        <v>0</v>
      </c>
      <c r="R9" s="138">
        <f>IF(X9="Error",0,IF(AND(Q9&gt;9,Q9&lt;100),20,0)+IF(AND(Q9&gt;99,Q9&lt;500),180,0)+IF(AND(Q9&gt;499,Q9&lt;2000),275,0)+IF(AND(Q9&gt;1999,Q9&lt;3000),360,0)+IF(AND(Q9&gt;2999,Q9&lt;4000),530,0)+IF(AND(Q9&gt;3999,Q9&lt;8000),820,0)+IF(Q9&gt;7999,1500,0))</f>
        <v>0</v>
      </c>
      <c r="S9" s="137">
        <v>0</v>
      </c>
      <c r="T9" s="153" t="s">
        <v>393</v>
      </c>
      <c r="U9" s="139">
        <f>IF(X9="Error",0,IF(S9=0,R9,IF(AND(S9&gt;0,ROUND(R9/S9,4)&lt;65%,T9="Yes"),ROUND(S9*0.8,2),R9)))</f>
        <v>0</v>
      </c>
      <c r="V9" s="139">
        <f>IF(X9="Error",0,IF(AND(I9="Staff",Z9&gt;0,Z9&lt;15),(120*Z9),IF(AND(I9="Staff",Z9&gt;14,Z9&lt;61),(1680+((Z9-14)*70)),IF(AND(I9="Staff",Z9&gt;60,Z9&lt;91),(4900+((Z9-60)*50)),IF(AND(I9="Staff",Z9&gt;90),6400,IF(AND(I9="Student",Z9&gt;0,Z9&lt;15),(55*Z9),IF(AND(I9="Student",Z9&gt;14,Z9&lt;91),(770+((Z9-14)*40)),IF(AND(I9="Student",Z9&gt;90),3810,0))))))))</f>
        <v>0</v>
      </c>
      <c r="W9" s="139">
        <f>IF(X9="Error",0,U9+V9)</f>
        <v>0</v>
      </c>
      <c r="X9" s="140" t="str">
        <f>IF(OR(COUNTBLANK(B9:Q9)&gt;0,COUNTBLANK(S9:T9)&gt;0,COUNTIF(WorkPackage,B9)=0,COUNTIF(PartnerN°,C9)=0,COUNTIF(CountryALL,E9)=0,COUNTIF(Role_Code,F9)=0,COUNTIF(Category2,I9)=0,AND(I9="Staff",COUNTIF(Staff,J9)=0),AND(I9="Student",COUNTIF(Student,J9)=0),(O9-N9)&lt;0,ISNUMBER(P9)=FALSE,IF(ISNUMBER(P9)=TRUE,P9=INT(P9*1)/1=FALSE),ISNUMBER(Q9)=FALSE,IF(ISNUMBER(Q9)=TRUE,Q9=INT(Q9*1)/1=FALSE),ISNUMBER(S9)=FALSE,IF(ISNUMBER(S9)=TRUE,S9=INT(S9*100)/100=FALSE),AND(T9&lt;&gt;"No",T9&lt;&gt;"Yes")),"Error","")</f>
        <v>Error</v>
      </c>
      <c r="Y9" s="167">
        <f>IF(U9=R9,1,2)</f>
        <v>1</v>
      </c>
      <c r="Z9" s="24">
        <f>IF(P9&gt;(O9-N9)+1,(O9-N9)+1,P9)</f>
        <v>0</v>
      </c>
    </row>
    <row r="10" spans="2:26" s="24" customFormat="1" x14ac:dyDescent="0.35">
      <c r="B10" s="154"/>
      <c r="C10" s="22"/>
      <c r="D10" s="57" t="str">
        <f>IFERROR(IF(VLOOKUP(C10,PartnerN°Ref,2,FALSE)=0,"",VLOOKUP(C10,PartnerN°Ref,2,FALSE)),"")</f>
        <v/>
      </c>
      <c r="E10" s="57" t="str">
        <f>IFERROR(IF(VLOOKUP(C10,PartnerN°Ref,3,FALSE)=0,"",VLOOKUP(C10,PartnerN°Ref,3,FALSE)),"")</f>
        <v/>
      </c>
      <c r="F10" s="174" t="str">
        <f>IFERROR(IF(VLOOKUP(C10,PartnerN°Ref,4,FALSE)=0,"",VLOOKUP(C10,PartnerN°Ref,4,FALSE)),"")</f>
        <v/>
      </c>
      <c r="G10" s="154"/>
      <c r="H10" s="154"/>
      <c r="I10" s="130"/>
      <c r="J10" s="149"/>
      <c r="K10" s="149"/>
      <c r="L10" s="163"/>
      <c r="M10" s="165"/>
      <c r="N10" s="134"/>
      <c r="O10" s="134"/>
      <c r="P10" s="135">
        <v>0</v>
      </c>
      <c r="Q10" s="136">
        <v>0</v>
      </c>
      <c r="R10" s="138">
        <f>IF(X10="Error",0,IF(AND(Q10&gt;9,Q10&lt;100),20,0)+IF(AND(Q10&gt;99,Q10&lt;500),180,0)+IF(AND(Q10&gt;499,Q10&lt;2000),275,0)+IF(AND(Q10&gt;1999,Q10&lt;3000),360,0)+IF(AND(Q10&gt;2999,Q10&lt;4000),530,0)+IF(AND(Q10&gt;3999,Q10&lt;8000),820,0)+IF(Q10&gt;7999,1500,0))</f>
        <v>0</v>
      </c>
      <c r="S10" s="137">
        <v>0</v>
      </c>
      <c r="T10" s="153" t="s">
        <v>393</v>
      </c>
      <c r="U10" s="139">
        <f>IF(X10="Error",0,IF(S10=0,R10,IF(AND(S10&gt;0,ROUND(R10/S10,4)&lt;65%,T10="Yes"),ROUND(S10*0.8,2),R10)))</f>
        <v>0</v>
      </c>
      <c r="V10" s="139">
        <f>IF(X10="Error",0,IF(AND(I10="Staff",Z10&gt;0,Z10&lt;15),(120*Z10),IF(AND(I10="Staff",Z10&gt;14,Z10&lt;61),(1680+((Z10-14)*70)),IF(AND(I10="Staff",Z10&gt;60,Z10&lt;91),(4900+((Z10-60)*50)),IF(AND(I10="Staff",Z10&gt;90),6400,IF(AND(I10="Student",Z10&gt;0,Z10&lt;15),(55*Z10),IF(AND(I10="Student",Z10&gt;14,Z10&lt;91),(770+((Z10-14)*40)),IF(AND(I10="Student",Z10&gt;90),3810,0))))))))</f>
        <v>0</v>
      </c>
      <c r="W10" s="139">
        <f>IF(X10="Error",0,U10+V10)</f>
        <v>0</v>
      </c>
      <c r="X10" s="140" t="str">
        <f>IF(OR(COUNTBLANK(B10:Q10)&gt;0,COUNTBLANK(S10:T10)&gt;0,COUNTIF(WorkPackage,B10)=0,COUNTIF(PartnerN°,C10)=0,COUNTIF(CountryALL,E10)=0,COUNTIF(Role_Code,F10)=0,COUNTIF(Category2,I10)=0,AND(I10="Staff",COUNTIF(Staff,J10)=0),AND(I10="Student",COUNTIF(Student,J10)=0),(O10-N10)&lt;0,ISNUMBER(P10)=FALSE,IF(ISNUMBER(P10)=TRUE,P10=INT(P10*1)/1=FALSE),ISNUMBER(Q10)=FALSE,IF(ISNUMBER(Q10)=TRUE,Q10=INT(Q10*1)/1=FALSE),ISNUMBER(S10)=FALSE,IF(ISNUMBER(S10)=TRUE,S10=INT(S10*100)/100=FALSE),AND(T10&lt;&gt;"No",T10&lt;&gt;"Yes")),"Error","")</f>
        <v>Error</v>
      </c>
      <c r="Y10" s="167">
        <f>IF(U10=R10,1,2)</f>
        <v>1</v>
      </c>
      <c r="Z10" s="24">
        <f>IF(P10&gt;(O10-N10)+1,(O10-N10)+1,P10)</f>
        <v>0</v>
      </c>
    </row>
    <row r="12" spans="2:26" x14ac:dyDescent="0.4">
      <c r="U12" s="168"/>
    </row>
    <row r="13" spans="2:26" x14ac:dyDescent="0.4">
      <c r="U13" s="162"/>
    </row>
    <row r="16" spans="2:26" x14ac:dyDescent="0.4">
      <c r="U16" s="162"/>
    </row>
  </sheetData>
  <sheetProtection algorithmName="SHA-512" hashValue="MctxEdG4BCCDJHYqZBi5L6pX2UVqkV6/+gxqUftorsv9EE7IyKdg51VwHIPlinlbVq8s7DHkpftTyo21JmruhA==" saltValue="X2Qr5V5dan/JlBIRbgewrA==" spinCount="100000" sheet="1" objects="1" scenarios="1" selectLockedCells="1"/>
  <dataConsolidate/>
  <mergeCells count="6">
    <mergeCell ref="B2:X2"/>
    <mergeCell ref="B4:C4"/>
    <mergeCell ref="B6:C6"/>
    <mergeCell ref="B5:C5"/>
    <mergeCell ref="S3:X7"/>
    <mergeCell ref="R3:R7"/>
  </mergeCells>
  <conditionalFormatting sqref="X9:X10">
    <cfRule type="containsText" dxfId="297" priority="567" operator="containsText" text="Error">
      <formula>NOT(ISERROR(SEARCH("Error",X9)))</formula>
    </cfRule>
  </conditionalFormatting>
  <conditionalFormatting sqref="E4:F6">
    <cfRule type="cellIs" dxfId="296" priority="339" operator="notEqual">
      <formula>""</formula>
    </cfRule>
  </conditionalFormatting>
  <conditionalFormatting sqref="E9:E10">
    <cfRule type="expression" dxfId="295" priority="338">
      <formula>COUNTIF(CountryALL,E9)=0</formula>
    </cfRule>
  </conditionalFormatting>
  <conditionalFormatting sqref="D9:D10">
    <cfRule type="cellIs" dxfId="294" priority="337" operator="equal">
      <formula>""</formula>
    </cfRule>
  </conditionalFormatting>
  <conditionalFormatting sqref="V9:V10">
    <cfRule type="expression" dxfId="293" priority="237">
      <formula>AND(I9="Student",P9&gt;90)</formula>
    </cfRule>
    <cfRule type="expression" dxfId="292" priority="270">
      <formula>AND(I9="Staff",P9&gt;90)</formula>
    </cfRule>
    <cfRule type="expression" dxfId="291" priority="307">
      <formula>P9&gt;(O9-N9)+1</formula>
    </cfRule>
  </conditionalFormatting>
  <conditionalFormatting sqref="F9:F10">
    <cfRule type="expression" dxfId="290" priority="145">
      <formula>COUNTIF(Role_Code,F9)=0</formula>
    </cfRule>
  </conditionalFormatting>
  <conditionalFormatting sqref="J9:J10">
    <cfRule type="expression" dxfId="289" priority="39">
      <formula>AND(I9="Staff",COUNTIF(Staff,J9)=0)</formula>
    </cfRule>
  </conditionalFormatting>
  <conditionalFormatting sqref="J9:J10">
    <cfRule type="expression" dxfId="288" priority="37">
      <formula>AND(I9="Student",COUNTIF(Student,J9)=0)</formula>
    </cfRule>
  </conditionalFormatting>
  <dataValidations xWindow="204" yWindow="443" count="15">
    <dataValidation allowBlank="1" showInputMessage="1" showErrorMessage="1" error="Please encode City and Country of Destination" prompt="Please encode City and Country of Destination" sqref="M9:M10"/>
    <dataValidation allowBlank="1" showInputMessage="1" showErrorMessage="1" error="Please encode City and Country of Departure" prompt="Please encode City and Country of Departure" sqref="L9:L10"/>
    <dataValidation type="list" allowBlank="1" showInputMessage="1" showErrorMessage="1" error="Click arrow to select Category" prompt="Click arrow to select Category" sqref="I9:I10">
      <formula1>Category2</formula1>
    </dataValidation>
    <dataValidation type="list" allowBlank="1" showInputMessage="1" showErrorMessage="1" error="Click arrow to select Work Package" prompt="Click arrow to select Work Package" sqref="B9:B10">
      <formula1>WorkPackage</formula1>
    </dataValidation>
    <dataValidation type="list" allowBlank="1" showInputMessage="1" showErrorMessage="1" error="Click arrow to select Partner N°" prompt="Click arrow to select Partner N°" sqref="C9:C10">
      <formula1>PartnerN°</formula1>
    </dataValidation>
    <dataValidation allowBlank="1" showInputMessage="1" showErrorMessage="1" error="Please encode the name of the person travelling" prompt="Please encode the name of the person travelling" sqref="H9:H10"/>
    <dataValidation type="date" allowBlank="1" showInputMessage="1" showErrorMessage="1" error="Please encode date (format must be dd/mm/yy)" prompt="Please encode date (format must be dd/mm/yy)" sqref="N9:O10">
      <formula1>36526</formula1>
      <formula2>55153</formula2>
    </dataValidation>
    <dataValidation allowBlank="1" showInputMessage="1" showErrorMessage="1" error="Please encode supporting document ref." prompt="Please encode supporting document ref." sqref="G9:G10"/>
    <dataValidation type="whole" allowBlank="1" showInputMessage="1" showErrorMessage="1" error="Please encode distance in kilometers (no decimals)" prompt="Please encode distance in kilometers (no decimals)" sqref="Q9:Q10">
      <formula1>0</formula1>
      <formula2>1000000</formula2>
    </dataValidation>
    <dataValidation type="whole" allowBlank="1" showInputMessage="1" showErrorMessage="1" error="Please encode number of days (max 90 days for student and staff - whole number only)" prompt="Please encode number of days (max 90 days for student and staff - whole number only)" sqref="P9:P10">
      <formula1>0</formula1>
      <formula2>1000000</formula2>
    </dataValidation>
    <dataValidation allowBlank="1" showInputMessage="1" errorTitle="Warning: Max Ceilings exceeded" error="Please be aware that this exceed the &quot;Ceilings&quot; for the maximum amounts for staff cost by country" sqref="U9:U10 R9:R10"/>
    <dataValidation type="custom" allowBlank="1" showInputMessage="1" showErrorMessage="1" error="Please encode actual cost of travel (2 decimals only)" prompt="Please encode actual cost of travel (2 decimals only)" sqref="S9:S10">
      <formula1>S9=INT(S9*100)/100</formula1>
    </dataValidation>
    <dataValidation type="list" allowBlank="1" showInputMessage="1" showErrorMessage="1" errorTitle="Warning: Max Ceilings exceeded" error="Click arrow to confirm replacement of Unit Costs by Exceptional Costs" prompt="Click arrow to confirm replacement of Unit Costs by Exceptional Costs" sqref="T9:T10">
      <formula1>"No,Yes"</formula1>
    </dataValidation>
    <dataValidation allowBlank="1" showInputMessage="1" showErrorMessage="1" error="Please indicate the activity n° (as indicated in the narrative report)" prompt="Please indicate the activity n° (as indicated in the narrative report)" sqref="K9:K10"/>
    <dataValidation type="list" allowBlank="1" showInputMessage="1" showErrorMessage="1" error="Please click arrow to indicate the main activity performed during the trip (contextual choice - please select category staff/student first)" prompt="Please click arrow to indicate the main activity performed during the trip (contextual choice - please select category staff/student first)" sqref="J9:J10">
      <formula1>INDIRECT(I9)</formula1>
    </dataValidation>
  </dataValidations>
  <printOptions horizontalCentered="1"/>
  <pageMargins left="0.23622047244094491" right="0.23622047244094491" top="0.39370078740157483" bottom="0.94488188976377963" header="0.31496062992125984" footer="0.31496062992125984"/>
  <pageSetup paperSize="9" scale="2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9" r:id="rId4" name="Button 4">
              <controlPr defaultSize="0" print="0" autoFill="0" autoPict="0" macro="[0]!Distance">
                <anchor moveWithCells="1" sizeWithCells="1">
                  <from>
                    <xdr:col>3</xdr:col>
                    <xdr:colOff>914400</xdr:colOff>
                    <xdr:row>1</xdr:row>
                    <xdr:rowOff>57150</xdr:rowOff>
                  </from>
                  <to>
                    <xdr:col>3</xdr:col>
                    <xdr:colOff>2679700</xdr:colOff>
                    <xdr:row>1</xdr:row>
                    <xdr:rowOff>527050</xdr:rowOff>
                  </to>
                </anchor>
              </controlPr>
            </control>
          </mc:Choice>
        </mc:AlternateContent>
        <mc:AlternateContent xmlns:mc="http://schemas.openxmlformats.org/markup-compatibility/2006">
          <mc:Choice Requires="x14">
            <control shapeId="5169" r:id="rId5" name="Button 1">
              <controlPr defaultSize="0" print="0" autoFill="0" autoPict="0" macro="[0]!AddRow">
                <anchor moveWithCells="1" sizeWithCells="1">
                  <from>
                    <xdr:col>1</xdr:col>
                    <xdr:colOff>38100</xdr:colOff>
                    <xdr:row>1</xdr:row>
                    <xdr:rowOff>57150</xdr:rowOff>
                  </from>
                  <to>
                    <xdr:col>1</xdr:col>
                    <xdr:colOff>1479550</xdr:colOff>
                    <xdr:row>1</xdr:row>
                    <xdr:rowOff>527050</xdr:rowOff>
                  </to>
                </anchor>
              </controlPr>
            </control>
          </mc:Choice>
        </mc:AlternateContent>
        <mc:AlternateContent xmlns:mc="http://schemas.openxmlformats.org/markup-compatibility/2006">
          <mc:Choice Requires="x14">
            <control shapeId="5170" r:id="rId6" name="Button 2">
              <controlPr defaultSize="0" print="0" autoFill="0" autoPict="0" macro="[0]!DeleteRow">
                <anchor moveWithCells="1" sizeWithCells="1">
                  <from>
                    <xdr:col>1</xdr:col>
                    <xdr:colOff>1524000</xdr:colOff>
                    <xdr:row>1</xdr:row>
                    <xdr:rowOff>57150</xdr:rowOff>
                  </from>
                  <to>
                    <xdr:col>2</xdr:col>
                    <xdr:colOff>114300</xdr:colOff>
                    <xdr:row>1</xdr:row>
                    <xdr:rowOff>527050</xdr:rowOff>
                  </to>
                </anchor>
              </controlPr>
            </control>
          </mc:Choice>
        </mc:AlternateContent>
        <mc:AlternateContent xmlns:mc="http://schemas.openxmlformats.org/markup-compatibility/2006">
          <mc:Choice Requires="x14">
            <control shapeId="5171" r:id="rId7" name="Button 3">
              <controlPr defaultSize="0" print="0" autoFill="0" autoPict="0" macro="[0]!DuplicateRow">
                <anchor moveWithCells="1">
                  <from>
                    <xdr:col>2</xdr:col>
                    <xdr:colOff>165100</xdr:colOff>
                    <xdr:row>1</xdr:row>
                    <xdr:rowOff>57150</xdr:rowOff>
                  </from>
                  <to>
                    <xdr:col>3</xdr:col>
                    <xdr:colOff>876300</xdr:colOff>
                    <xdr:row>1</xdr:row>
                    <xdr:rowOff>527050</xdr:rowOff>
                  </to>
                </anchor>
              </controlPr>
            </control>
          </mc:Choice>
        </mc:AlternateContent>
        <mc:AlternateContent xmlns:mc="http://schemas.openxmlformats.org/markup-compatibility/2006">
          <mc:Choice Requires="x14">
            <control shapeId="5172" r:id="rId8" name="Button 52">
              <controlPr defaultSize="0" print="0" autoFill="0" autoPict="0" macro="[0]!Export_Travel">
                <anchor moveWithCells="1">
                  <from>
                    <xdr:col>3</xdr:col>
                    <xdr:colOff>2717800</xdr:colOff>
                    <xdr:row>1</xdr:row>
                    <xdr:rowOff>57150</xdr:rowOff>
                  </from>
                  <to>
                    <xdr:col>4</xdr:col>
                    <xdr:colOff>762000</xdr:colOff>
                    <xdr:row>1</xdr:row>
                    <xdr:rowOff>527050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59999389629810485"/>
    <pageSetUpPr fitToPage="1"/>
  </sheetPr>
  <dimension ref="B1:S24"/>
  <sheetViews>
    <sheetView showGridLines="0" tabSelected="1" zoomScale="70" zoomScaleNormal="70" zoomScaleSheetLayoutView="55" workbookViewId="0">
      <pane ySplit="9" topLeftCell="A10" activePane="bottomLeft" state="frozen"/>
      <selection pane="bottomLeft" activeCell="B10" sqref="B10"/>
    </sheetView>
  </sheetViews>
  <sheetFormatPr baseColWidth="10" defaultColWidth="9.1796875" defaultRowHeight="18" x14ac:dyDescent="0.4"/>
  <cols>
    <col min="1" max="1" width="1.7265625" style="5" customWidth="1"/>
    <col min="2" max="2" width="42.7265625" style="5" customWidth="1"/>
    <col min="3" max="3" width="10.7265625" style="5" customWidth="1"/>
    <col min="4" max="5" width="50.7265625" style="5" customWidth="1"/>
    <col min="6" max="6" width="25.7265625" style="178" customWidth="1"/>
    <col min="7" max="8" width="20.7265625" style="5" customWidth="1"/>
    <col min="9" max="9" width="50.7265625" style="5" customWidth="1"/>
    <col min="10" max="10" width="35.7265625" style="5" customWidth="1"/>
    <col min="11" max="18" width="20.7265625" style="5" customWidth="1"/>
    <col min="19" max="19" width="11.26953125" style="5" bestFit="1" customWidth="1"/>
    <col min="20" max="20" width="1.7265625" style="5" customWidth="1"/>
    <col min="21" max="16384" width="9.1796875" style="5"/>
  </cols>
  <sheetData>
    <row r="1" spans="2:19" ht="8.15" customHeight="1" x14ac:dyDescent="0.4"/>
    <row r="2" spans="2:19" s="8" customFormat="1" ht="45" customHeight="1" x14ac:dyDescent="0.4">
      <c r="B2" s="313" t="s">
        <v>163</v>
      </c>
      <c r="C2" s="313"/>
      <c r="D2" s="313"/>
      <c r="E2" s="313"/>
      <c r="F2" s="313"/>
      <c r="G2" s="313"/>
      <c r="H2" s="313"/>
      <c r="I2" s="313"/>
      <c r="J2" s="313"/>
      <c r="K2" s="314"/>
      <c r="L2" s="314"/>
      <c r="M2" s="314"/>
      <c r="N2" s="314"/>
      <c r="O2" s="314"/>
      <c r="P2" s="314"/>
      <c r="Q2" s="314"/>
      <c r="R2" s="314"/>
      <c r="S2" s="314"/>
    </row>
    <row r="3" spans="2:19" s="8" customFormat="1" ht="8.15" customHeight="1" x14ac:dyDescent="0.4">
      <c r="B3" s="19"/>
      <c r="F3" s="145"/>
      <c r="K3" s="317" t="s">
        <v>536</v>
      </c>
      <c r="L3" s="318"/>
      <c r="M3" s="318"/>
      <c r="N3" s="318"/>
      <c r="O3" s="318"/>
      <c r="P3" s="318"/>
      <c r="Q3" s="318"/>
      <c r="R3" s="318"/>
      <c r="S3" s="319"/>
    </row>
    <row r="4" spans="2:19" s="8" customFormat="1" ht="20.149999999999999" customHeight="1" x14ac:dyDescent="0.4">
      <c r="B4" s="292" t="s">
        <v>378</v>
      </c>
      <c r="C4" s="292"/>
      <c r="D4" s="315">
        <f>SUMIF(S:S,"&lt;&gt;Error",R:R)</f>
        <v>129710.22</v>
      </c>
      <c r="E4" s="316" t="str">
        <f>IF(D4&gt;ROUND('Final financial statement'!D15*1.1,2),"Exceeds Grant Awarded + 10%","")</f>
        <v/>
      </c>
      <c r="F4" s="176"/>
      <c r="K4" s="320"/>
      <c r="L4" s="321"/>
      <c r="M4" s="321"/>
      <c r="N4" s="321"/>
      <c r="O4" s="321"/>
      <c r="P4" s="321"/>
      <c r="Q4" s="321"/>
      <c r="R4" s="321"/>
      <c r="S4" s="322"/>
    </row>
    <row r="5" spans="2:19" s="8" customFormat="1" ht="20.149999999999999" customHeight="1" x14ac:dyDescent="0.4">
      <c r="B5" s="292"/>
      <c r="C5" s="292"/>
      <c r="D5" s="315"/>
      <c r="E5" s="316"/>
      <c r="F5" s="176"/>
      <c r="K5" s="320"/>
      <c r="L5" s="321"/>
      <c r="M5" s="321"/>
      <c r="N5" s="321"/>
      <c r="O5" s="321"/>
      <c r="P5" s="321"/>
      <c r="Q5" s="321"/>
      <c r="R5" s="321"/>
      <c r="S5" s="322"/>
    </row>
    <row r="6" spans="2:19" s="8" customFormat="1" ht="8.15" customHeight="1" x14ac:dyDescent="0.4">
      <c r="B6" s="292"/>
      <c r="C6" s="292"/>
      <c r="D6" s="315"/>
      <c r="E6" s="316"/>
      <c r="F6" s="176"/>
      <c r="K6" s="320"/>
      <c r="L6" s="321"/>
      <c r="M6" s="321"/>
      <c r="N6" s="321"/>
      <c r="O6" s="321"/>
      <c r="P6" s="321"/>
      <c r="Q6" s="321"/>
      <c r="R6" s="321"/>
      <c r="S6" s="322"/>
    </row>
    <row r="7" spans="2:19" s="8" customFormat="1" ht="8.15" customHeight="1" x14ac:dyDescent="0.4">
      <c r="B7" s="9"/>
      <c r="C7" s="10"/>
      <c r="D7" s="10"/>
      <c r="E7" s="10"/>
      <c r="F7" s="179"/>
      <c r="G7" s="10"/>
      <c r="H7" s="10"/>
      <c r="I7" s="10"/>
      <c r="J7" s="10"/>
      <c r="K7" s="323"/>
      <c r="L7" s="324"/>
      <c r="M7" s="324"/>
      <c r="N7" s="324"/>
      <c r="O7" s="324"/>
      <c r="P7" s="324"/>
      <c r="Q7" s="324"/>
      <c r="R7" s="324"/>
      <c r="S7" s="325"/>
    </row>
    <row r="8" spans="2:19" s="30" customFormat="1" ht="126" x14ac:dyDescent="0.4">
      <c r="B8" s="212" t="s">
        <v>151</v>
      </c>
      <c r="C8" s="212" t="s">
        <v>142</v>
      </c>
      <c r="D8" s="212" t="s">
        <v>485</v>
      </c>
      <c r="E8" s="212" t="s">
        <v>486</v>
      </c>
      <c r="F8" s="212" t="s">
        <v>487</v>
      </c>
      <c r="G8" s="212" t="s">
        <v>200</v>
      </c>
      <c r="H8" s="212" t="s">
        <v>496</v>
      </c>
      <c r="I8" s="126" t="s">
        <v>128</v>
      </c>
      <c r="J8" s="126" t="s">
        <v>224</v>
      </c>
      <c r="K8" s="213" t="s">
        <v>521</v>
      </c>
      <c r="L8" s="213" t="s">
        <v>522</v>
      </c>
      <c r="M8" s="213" t="s">
        <v>484</v>
      </c>
      <c r="N8" s="213" t="s">
        <v>483</v>
      </c>
      <c r="O8" s="213" t="s">
        <v>509</v>
      </c>
      <c r="P8" s="213" t="s">
        <v>506</v>
      </c>
      <c r="Q8" s="213" t="s">
        <v>511</v>
      </c>
      <c r="R8" s="213" t="s">
        <v>512</v>
      </c>
      <c r="S8" s="213" t="s">
        <v>184</v>
      </c>
    </row>
    <row r="9" spans="2:19" s="26" customFormat="1" hidden="1" x14ac:dyDescent="0.35">
      <c r="B9" s="108"/>
      <c r="C9" s="22"/>
      <c r="D9" s="109" t="str">
        <f t="shared" ref="D9:D24" si="0">IFERROR(IF(VLOOKUP(C9,PartnerN°Ref,2,FALSE)=0,"",VLOOKUP(C9,PartnerN°Ref,2,FALSE)),"")</f>
        <v/>
      </c>
      <c r="E9" s="109" t="str">
        <f t="shared" ref="E9:E24" si="1">IFERROR(IF(VLOOKUP(C9,PartnerN°Ref,3,FALSE)=0,"",VLOOKUP(C9,PartnerN°Ref,3,FALSE)),"")</f>
        <v/>
      </c>
      <c r="F9" s="174" t="str">
        <f t="shared" ref="F9:F24" si="2">IFERROR(IF(VLOOKUP(C9,PartnerN°Ref,4,FALSE)=0,"",VLOOKUP(C9,PartnerN°Ref,4,FALSE)),"")</f>
        <v/>
      </c>
      <c r="G9" s="108"/>
      <c r="H9" s="64"/>
      <c r="I9" s="108"/>
      <c r="J9" s="108"/>
      <c r="K9" s="107">
        <v>0</v>
      </c>
      <c r="L9" s="107">
        <v>0</v>
      </c>
      <c r="M9" s="22"/>
      <c r="N9" s="22"/>
      <c r="O9" s="193">
        <v>0</v>
      </c>
      <c r="P9" s="194">
        <f t="shared" ref="P9:P24" si="3">IFERROR(VLOOKUP(M9,Exchange_Rates,2,FALSE),0)</f>
        <v>0</v>
      </c>
      <c r="Q9" s="93">
        <f>K9+L9</f>
        <v>0</v>
      </c>
      <c r="R9" s="195">
        <f t="shared" ref="R9:R24" si="4">IF(S9="Error",0,IF(N9="Average",ROUND(Q9*P9,2),IF(N9="Usual Practices",ROUND(Q9*O9,2),0)))</f>
        <v>0</v>
      </c>
      <c r="S9" s="23" t="str">
        <f t="shared" ref="S9:S24" si="5">IF(OR(COUNTBLANK(B9:O9)&gt;0,COUNTIF(WorkPackage,B9)=0,COUNTIF(PartnerN°,C9)=0,COUNTIF(CountryEligEquip,E9)=0,COUNTIF(Role_Code,F9)=0,ISNUMBER(K9)=FALSE,IF(ISNUMBER(K9)=TRUE,K9=INT(K9*100)/100=FALSE),ISNUMBER(L9)=FALSE,IF(ISNUMBER(L9)=TRUE,L9=INT(L9*100)/100=FALSE),COUNTIF(Currencies,M9)=0,COUNTIF(Option,N9)=0,ISNUMBER(O9)=FALSE,IF(ISNUMBER(O9)=TRUE,O9=INT(O9*10000000)/10000000=FALSE),ISNUMBER(P9)=FALSE,IF(ISNUMBER(P9)=TRUE,P9=INT(P9*10000000)/10000000=FALSE)),"Error","")</f>
        <v>Error</v>
      </c>
    </row>
    <row r="10" spans="2:19" s="26" customFormat="1" ht="54" x14ac:dyDescent="0.35">
      <c r="B10" s="108" t="s">
        <v>155</v>
      </c>
      <c r="C10" s="22" t="s">
        <v>7</v>
      </c>
      <c r="D10" s="109" t="str">
        <f t="shared" si="0"/>
        <v>Universidad Industrial de Santander</v>
      </c>
      <c r="E10" s="109" t="str">
        <f t="shared" si="1"/>
        <v>Colombia</v>
      </c>
      <c r="F10" s="174" t="str">
        <f t="shared" si="2"/>
        <v>Partner</v>
      </c>
      <c r="G10" s="108" t="s">
        <v>658</v>
      </c>
      <c r="H10" s="64">
        <v>44384</v>
      </c>
      <c r="I10" s="108" t="s">
        <v>636</v>
      </c>
      <c r="J10" s="108" t="s">
        <v>668</v>
      </c>
      <c r="K10" s="107">
        <v>21642</v>
      </c>
      <c r="L10" s="107">
        <v>4112</v>
      </c>
      <c r="M10" s="22" t="s">
        <v>635</v>
      </c>
      <c r="N10" s="22" t="s">
        <v>482</v>
      </c>
      <c r="O10" s="193">
        <v>0</v>
      </c>
      <c r="P10" s="194">
        <f t="shared" si="3"/>
        <v>1</v>
      </c>
      <c r="Q10" s="93">
        <f t="shared" ref="Q10" si="6">K10+L10</f>
        <v>25754</v>
      </c>
      <c r="R10" s="195">
        <f t="shared" si="4"/>
        <v>25754</v>
      </c>
      <c r="S10" s="23" t="str">
        <f t="shared" si="5"/>
        <v/>
      </c>
    </row>
    <row r="11" spans="2:19" s="26" customFormat="1" ht="54" x14ac:dyDescent="0.35">
      <c r="B11" s="108" t="s">
        <v>155</v>
      </c>
      <c r="C11" s="22" t="s">
        <v>7</v>
      </c>
      <c r="D11" s="109" t="str">
        <f t="shared" si="0"/>
        <v>Universidad Industrial de Santander</v>
      </c>
      <c r="E11" s="109" t="str">
        <f t="shared" si="1"/>
        <v>Colombia</v>
      </c>
      <c r="F11" s="174" t="str">
        <f t="shared" si="2"/>
        <v>Partner</v>
      </c>
      <c r="G11" s="108" t="s">
        <v>660</v>
      </c>
      <c r="H11" s="64">
        <v>44218</v>
      </c>
      <c r="I11" s="108" t="s">
        <v>640</v>
      </c>
      <c r="J11" s="108" t="s">
        <v>639</v>
      </c>
      <c r="K11" s="107">
        <v>935.38</v>
      </c>
      <c r="L11" s="107">
        <v>177.05</v>
      </c>
      <c r="M11" s="22" t="s">
        <v>635</v>
      </c>
      <c r="N11" s="22" t="s">
        <v>482</v>
      </c>
      <c r="O11" s="193">
        <v>0</v>
      </c>
      <c r="P11" s="194">
        <f t="shared" si="3"/>
        <v>1</v>
      </c>
      <c r="Q11" s="93">
        <f t="shared" ref="Q11:Q24" si="7">K11+L11</f>
        <v>1112.43</v>
      </c>
      <c r="R11" s="195">
        <f t="shared" si="4"/>
        <v>1112.43</v>
      </c>
      <c r="S11" s="23" t="str">
        <f t="shared" si="5"/>
        <v/>
      </c>
    </row>
    <row r="12" spans="2:19" s="26" customFormat="1" ht="54" x14ac:dyDescent="0.35">
      <c r="B12" s="108" t="s">
        <v>155</v>
      </c>
      <c r="C12" s="22" t="s">
        <v>7</v>
      </c>
      <c r="D12" s="109" t="str">
        <f t="shared" si="0"/>
        <v>Universidad Industrial de Santander</v>
      </c>
      <c r="E12" s="109" t="str">
        <f t="shared" si="1"/>
        <v>Colombia</v>
      </c>
      <c r="F12" s="174" t="str">
        <f t="shared" si="2"/>
        <v>Partner</v>
      </c>
      <c r="G12" s="108" t="s">
        <v>662</v>
      </c>
      <c r="H12" s="64">
        <v>44362</v>
      </c>
      <c r="I12" s="108" t="s">
        <v>643</v>
      </c>
      <c r="J12" s="108" t="s">
        <v>644</v>
      </c>
      <c r="K12" s="107">
        <v>4760</v>
      </c>
      <c r="L12" s="107">
        <v>0</v>
      </c>
      <c r="M12" s="22" t="s">
        <v>641</v>
      </c>
      <c r="N12" s="22" t="s">
        <v>482</v>
      </c>
      <c r="O12" s="193">
        <v>0</v>
      </c>
      <c r="P12" s="194">
        <f t="shared" si="3"/>
        <v>0.82599999999999996</v>
      </c>
      <c r="Q12" s="93">
        <f t="shared" si="7"/>
        <v>4760</v>
      </c>
      <c r="R12" s="195">
        <f t="shared" si="4"/>
        <v>3931.76</v>
      </c>
      <c r="S12" s="23" t="str">
        <f t="shared" si="5"/>
        <v/>
      </c>
    </row>
    <row r="13" spans="2:19" s="26" customFormat="1" ht="54" x14ac:dyDescent="0.35">
      <c r="B13" s="108" t="s">
        <v>155</v>
      </c>
      <c r="C13" s="22" t="s">
        <v>8</v>
      </c>
      <c r="D13" s="109" t="str">
        <f t="shared" si="0"/>
        <v>Universidad Antonio Narino</v>
      </c>
      <c r="E13" s="109" t="str">
        <f t="shared" si="1"/>
        <v>Colombia</v>
      </c>
      <c r="F13" s="174" t="str">
        <f t="shared" si="2"/>
        <v>Partner</v>
      </c>
      <c r="G13" s="108" t="s">
        <v>658</v>
      </c>
      <c r="H13" s="64">
        <v>44384</v>
      </c>
      <c r="I13" s="108" t="s">
        <v>637</v>
      </c>
      <c r="J13" s="108" t="s">
        <v>668</v>
      </c>
      <c r="K13" s="107">
        <v>17716</v>
      </c>
      <c r="L13" s="107">
        <v>3366</v>
      </c>
      <c r="M13" s="22" t="s">
        <v>635</v>
      </c>
      <c r="N13" s="22" t="s">
        <v>482</v>
      </c>
      <c r="O13" s="193">
        <v>0</v>
      </c>
      <c r="P13" s="194">
        <f t="shared" si="3"/>
        <v>1</v>
      </c>
      <c r="Q13" s="93">
        <f t="shared" si="7"/>
        <v>21082</v>
      </c>
      <c r="R13" s="195">
        <f t="shared" si="4"/>
        <v>21082</v>
      </c>
      <c r="S13" s="23" t="str">
        <f t="shared" si="5"/>
        <v/>
      </c>
    </row>
    <row r="14" spans="2:19" s="26" customFormat="1" ht="54" x14ac:dyDescent="0.35">
      <c r="B14" s="108" t="s">
        <v>155</v>
      </c>
      <c r="C14" s="22" t="s">
        <v>8</v>
      </c>
      <c r="D14" s="109" t="str">
        <f t="shared" si="0"/>
        <v>Universidad Antonio Narino</v>
      </c>
      <c r="E14" s="109" t="str">
        <f t="shared" si="1"/>
        <v>Colombia</v>
      </c>
      <c r="F14" s="174" t="str">
        <f t="shared" si="2"/>
        <v>Partner</v>
      </c>
      <c r="G14" s="108" t="s">
        <v>659</v>
      </c>
      <c r="H14" s="64">
        <v>44218</v>
      </c>
      <c r="I14" s="108" t="s">
        <v>640</v>
      </c>
      <c r="J14" s="108" t="s">
        <v>639</v>
      </c>
      <c r="K14" s="107">
        <v>935.38</v>
      </c>
      <c r="L14" s="107">
        <v>177.05</v>
      </c>
      <c r="M14" s="22" t="s">
        <v>635</v>
      </c>
      <c r="N14" s="22" t="s">
        <v>482</v>
      </c>
      <c r="O14" s="193">
        <v>0</v>
      </c>
      <c r="P14" s="194">
        <f t="shared" si="3"/>
        <v>1</v>
      </c>
      <c r="Q14" s="93">
        <f t="shared" si="7"/>
        <v>1112.43</v>
      </c>
      <c r="R14" s="195">
        <f t="shared" si="4"/>
        <v>1112.43</v>
      </c>
      <c r="S14" s="23" t="str">
        <f t="shared" si="5"/>
        <v/>
      </c>
    </row>
    <row r="15" spans="2:19" s="26" customFormat="1" ht="54" x14ac:dyDescent="0.35">
      <c r="B15" s="108" t="s">
        <v>155</v>
      </c>
      <c r="C15" s="22" t="s">
        <v>8</v>
      </c>
      <c r="D15" s="109" t="str">
        <f t="shared" si="0"/>
        <v>Universidad Antonio Narino</v>
      </c>
      <c r="E15" s="109" t="str">
        <f t="shared" si="1"/>
        <v>Colombia</v>
      </c>
      <c r="F15" s="174" t="str">
        <f t="shared" si="2"/>
        <v>Partner</v>
      </c>
      <c r="G15" s="108" t="s">
        <v>661</v>
      </c>
      <c r="H15" s="64">
        <v>44362</v>
      </c>
      <c r="I15" s="108" t="s">
        <v>643</v>
      </c>
      <c r="J15" s="108" t="s">
        <v>644</v>
      </c>
      <c r="K15" s="107">
        <v>4760</v>
      </c>
      <c r="L15" s="107">
        <v>0</v>
      </c>
      <c r="M15" s="22" t="s">
        <v>641</v>
      </c>
      <c r="N15" s="22" t="s">
        <v>482</v>
      </c>
      <c r="O15" s="193">
        <v>0</v>
      </c>
      <c r="P15" s="194">
        <f t="shared" si="3"/>
        <v>0.82599999999999996</v>
      </c>
      <c r="Q15" s="93">
        <f t="shared" si="7"/>
        <v>4760</v>
      </c>
      <c r="R15" s="195">
        <f t="shared" si="4"/>
        <v>3931.76</v>
      </c>
      <c r="S15" s="23" t="str">
        <f t="shared" si="5"/>
        <v/>
      </c>
    </row>
    <row r="16" spans="2:19" s="26" customFormat="1" ht="54" x14ac:dyDescent="0.35">
      <c r="B16" s="108" t="s">
        <v>155</v>
      </c>
      <c r="C16" s="22" t="s">
        <v>9</v>
      </c>
      <c r="D16" s="109" t="str">
        <f t="shared" si="0"/>
        <v>Universidad San Francisco de Quito</v>
      </c>
      <c r="E16" s="109" t="str">
        <f t="shared" si="1"/>
        <v>Ecuador</v>
      </c>
      <c r="F16" s="174" t="str">
        <f t="shared" si="2"/>
        <v>Partner</v>
      </c>
      <c r="G16" s="108" t="s">
        <v>658</v>
      </c>
      <c r="H16" s="64">
        <v>44384</v>
      </c>
      <c r="I16" s="108" t="s">
        <v>638</v>
      </c>
      <c r="J16" s="108" t="s">
        <v>668</v>
      </c>
      <c r="K16" s="107">
        <v>9400</v>
      </c>
      <c r="L16" s="107">
        <v>1410</v>
      </c>
      <c r="M16" s="22" t="s">
        <v>635</v>
      </c>
      <c r="N16" s="22" t="s">
        <v>482</v>
      </c>
      <c r="O16" s="193">
        <v>0</v>
      </c>
      <c r="P16" s="194">
        <f t="shared" si="3"/>
        <v>1</v>
      </c>
      <c r="Q16" s="93">
        <f t="shared" si="7"/>
        <v>10810</v>
      </c>
      <c r="R16" s="195">
        <f t="shared" si="4"/>
        <v>10810</v>
      </c>
      <c r="S16" s="23" t="str">
        <f t="shared" si="5"/>
        <v/>
      </c>
    </row>
    <row r="17" spans="2:19" s="26" customFormat="1" ht="72" x14ac:dyDescent="0.35">
      <c r="B17" s="108" t="s">
        <v>155</v>
      </c>
      <c r="C17" s="22" t="s">
        <v>9</v>
      </c>
      <c r="D17" s="109" t="str">
        <f t="shared" si="0"/>
        <v>Universidad San Francisco de Quito</v>
      </c>
      <c r="E17" s="109" t="str">
        <f t="shared" si="1"/>
        <v>Ecuador</v>
      </c>
      <c r="F17" s="174" t="str">
        <f t="shared" si="2"/>
        <v>Partner</v>
      </c>
      <c r="G17" s="108" t="s">
        <v>663</v>
      </c>
      <c r="H17" s="64">
        <v>44300</v>
      </c>
      <c r="I17" s="108" t="s">
        <v>640</v>
      </c>
      <c r="J17" s="108" t="s">
        <v>671</v>
      </c>
      <c r="K17" s="107">
        <v>1508.78</v>
      </c>
      <c r="L17" s="107">
        <v>181.05</v>
      </c>
      <c r="M17" s="22" t="s">
        <v>641</v>
      </c>
      <c r="N17" s="22" t="s">
        <v>482</v>
      </c>
      <c r="O17" s="193">
        <v>0</v>
      </c>
      <c r="P17" s="194">
        <f t="shared" si="3"/>
        <v>0.82599999999999996</v>
      </c>
      <c r="Q17" s="93">
        <f t="shared" si="7"/>
        <v>1689.83</v>
      </c>
      <c r="R17" s="195">
        <f t="shared" si="4"/>
        <v>1395.8</v>
      </c>
      <c r="S17" s="23" t="str">
        <f t="shared" si="5"/>
        <v/>
      </c>
    </row>
    <row r="18" spans="2:19" s="26" customFormat="1" ht="54" x14ac:dyDescent="0.35">
      <c r="B18" s="108" t="s">
        <v>155</v>
      </c>
      <c r="C18" s="22" t="s">
        <v>10</v>
      </c>
      <c r="D18" s="109" t="str">
        <f t="shared" si="0"/>
        <v>Universidadde Investigacionde Tecnologia Experimental YACHAY</v>
      </c>
      <c r="E18" s="109" t="str">
        <f t="shared" si="1"/>
        <v>Ecuador</v>
      </c>
      <c r="F18" s="174" t="str">
        <f t="shared" si="2"/>
        <v>Partner</v>
      </c>
      <c r="G18" s="108" t="s">
        <v>658</v>
      </c>
      <c r="H18" s="64">
        <v>44384</v>
      </c>
      <c r="I18" s="108" t="s">
        <v>638</v>
      </c>
      <c r="J18" s="108" t="s">
        <v>668</v>
      </c>
      <c r="K18" s="107">
        <v>9400</v>
      </c>
      <c r="L18" s="107">
        <v>1410</v>
      </c>
      <c r="M18" s="22" t="s">
        <v>635</v>
      </c>
      <c r="N18" s="22" t="s">
        <v>482</v>
      </c>
      <c r="O18" s="193">
        <v>0</v>
      </c>
      <c r="P18" s="194">
        <f t="shared" si="3"/>
        <v>1</v>
      </c>
      <c r="Q18" s="93">
        <f t="shared" si="7"/>
        <v>10810</v>
      </c>
      <c r="R18" s="195">
        <f t="shared" si="4"/>
        <v>10810</v>
      </c>
      <c r="S18" s="23" t="str">
        <f t="shared" si="5"/>
        <v/>
      </c>
    </row>
    <row r="19" spans="2:19" s="26" customFormat="1" ht="72" x14ac:dyDescent="0.35">
      <c r="B19" s="108" t="s">
        <v>155</v>
      </c>
      <c r="C19" s="22" t="s">
        <v>10</v>
      </c>
      <c r="D19" s="109" t="str">
        <f t="shared" si="0"/>
        <v>Universidadde Investigacionde Tecnologia Experimental YACHAY</v>
      </c>
      <c r="E19" s="109" t="str">
        <f t="shared" si="1"/>
        <v>Ecuador</v>
      </c>
      <c r="F19" s="174" t="str">
        <f t="shared" si="2"/>
        <v>Partner</v>
      </c>
      <c r="G19" s="108" t="s">
        <v>664</v>
      </c>
      <c r="H19" s="64">
        <v>44300</v>
      </c>
      <c r="I19" s="108" t="s">
        <v>642</v>
      </c>
      <c r="J19" s="108" t="s">
        <v>671</v>
      </c>
      <c r="K19" s="107">
        <v>1508.78</v>
      </c>
      <c r="L19" s="107">
        <v>181.05</v>
      </c>
      <c r="M19" s="22" t="s">
        <v>641</v>
      </c>
      <c r="N19" s="22" t="s">
        <v>482</v>
      </c>
      <c r="O19" s="193">
        <v>0</v>
      </c>
      <c r="P19" s="194">
        <f t="shared" si="3"/>
        <v>0.82599999999999996</v>
      </c>
      <c r="Q19" s="93">
        <f t="shared" si="7"/>
        <v>1689.83</v>
      </c>
      <c r="R19" s="195">
        <f t="shared" si="4"/>
        <v>1395.8</v>
      </c>
      <c r="S19" s="23" t="str">
        <f t="shared" si="5"/>
        <v/>
      </c>
    </row>
    <row r="20" spans="2:19" s="26" customFormat="1" ht="54" x14ac:dyDescent="0.35">
      <c r="B20" s="108" t="s">
        <v>155</v>
      </c>
      <c r="C20" s="22" t="s">
        <v>11</v>
      </c>
      <c r="D20" s="109" t="str">
        <f t="shared" si="0"/>
        <v>Universidad Nacional Mayor de San Marcos</v>
      </c>
      <c r="E20" s="109" t="str">
        <f t="shared" si="1"/>
        <v>Peru</v>
      </c>
      <c r="F20" s="174" t="str">
        <f t="shared" si="2"/>
        <v>Partner</v>
      </c>
      <c r="G20" s="108" t="s">
        <v>658</v>
      </c>
      <c r="H20" s="64">
        <v>44384</v>
      </c>
      <c r="I20" s="108" t="s">
        <v>636</v>
      </c>
      <c r="J20" s="108" t="s">
        <v>668</v>
      </c>
      <c r="K20" s="107">
        <v>13326</v>
      </c>
      <c r="L20" s="107">
        <v>2398.6799999999998</v>
      </c>
      <c r="M20" s="22" t="s">
        <v>635</v>
      </c>
      <c r="N20" s="22" t="s">
        <v>482</v>
      </c>
      <c r="O20" s="193">
        <v>0</v>
      </c>
      <c r="P20" s="194">
        <f t="shared" si="3"/>
        <v>1</v>
      </c>
      <c r="Q20" s="93">
        <f t="shared" si="7"/>
        <v>15724.68</v>
      </c>
      <c r="R20" s="195">
        <f t="shared" si="4"/>
        <v>15724.68</v>
      </c>
      <c r="S20" s="23" t="str">
        <f t="shared" si="5"/>
        <v/>
      </c>
    </row>
    <row r="21" spans="2:19" s="26" customFormat="1" ht="72" x14ac:dyDescent="0.35">
      <c r="B21" s="108" t="s">
        <v>155</v>
      </c>
      <c r="C21" s="22" t="s">
        <v>11</v>
      </c>
      <c r="D21" s="109" t="str">
        <f t="shared" si="0"/>
        <v>Universidad Nacional Mayor de San Marcos</v>
      </c>
      <c r="E21" s="109" t="str">
        <f t="shared" si="1"/>
        <v>Peru</v>
      </c>
      <c r="F21" s="174" t="str">
        <f t="shared" si="2"/>
        <v>Partner</v>
      </c>
      <c r="G21" s="108" t="s">
        <v>665</v>
      </c>
      <c r="H21" s="64">
        <v>44251</v>
      </c>
      <c r="I21" s="108" t="s">
        <v>642</v>
      </c>
      <c r="J21" s="108" t="s">
        <v>670</v>
      </c>
      <c r="K21" s="107">
        <v>1465.08</v>
      </c>
      <c r="L21" s="107">
        <v>0</v>
      </c>
      <c r="M21" s="22" t="s">
        <v>641</v>
      </c>
      <c r="N21" s="22" t="s">
        <v>482</v>
      </c>
      <c r="O21" s="193">
        <v>0</v>
      </c>
      <c r="P21" s="194">
        <f t="shared" si="3"/>
        <v>0.82599999999999996</v>
      </c>
      <c r="Q21" s="93">
        <f t="shared" si="7"/>
        <v>1465.08</v>
      </c>
      <c r="R21" s="195">
        <f t="shared" si="4"/>
        <v>1210.1600000000001</v>
      </c>
      <c r="S21" s="23" t="str">
        <f t="shared" si="5"/>
        <v/>
      </c>
    </row>
    <row r="22" spans="2:19" s="26" customFormat="1" ht="54" x14ac:dyDescent="0.35">
      <c r="B22" s="108" t="s">
        <v>155</v>
      </c>
      <c r="C22" s="22" t="s">
        <v>12</v>
      </c>
      <c r="D22" s="109" t="str">
        <f t="shared" si="0"/>
        <v>Universidad Nacional de Ingenieria</v>
      </c>
      <c r="E22" s="109" t="str">
        <f t="shared" si="1"/>
        <v>Peru</v>
      </c>
      <c r="F22" s="174" t="str">
        <f t="shared" si="2"/>
        <v>Partner</v>
      </c>
      <c r="G22" s="108" t="s">
        <v>658</v>
      </c>
      <c r="H22" s="64">
        <v>44384</v>
      </c>
      <c r="I22" s="108" t="s">
        <v>636</v>
      </c>
      <c r="J22" s="108" t="s">
        <v>668</v>
      </c>
      <c r="K22" s="107">
        <v>21642</v>
      </c>
      <c r="L22" s="107">
        <v>3895.56</v>
      </c>
      <c r="M22" s="22" t="s">
        <v>635</v>
      </c>
      <c r="N22" s="22" t="s">
        <v>482</v>
      </c>
      <c r="O22" s="193">
        <v>0</v>
      </c>
      <c r="P22" s="194">
        <f t="shared" si="3"/>
        <v>1</v>
      </c>
      <c r="Q22" s="93">
        <f t="shared" si="7"/>
        <v>25537.56</v>
      </c>
      <c r="R22" s="195">
        <f t="shared" si="4"/>
        <v>25537.56</v>
      </c>
      <c r="S22" s="23" t="str">
        <f t="shared" si="5"/>
        <v/>
      </c>
    </row>
    <row r="23" spans="2:19" s="26" customFormat="1" ht="72" x14ac:dyDescent="0.35">
      <c r="B23" s="108" t="s">
        <v>156</v>
      </c>
      <c r="C23" s="22" t="s">
        <v>12</v>
      </c>
      <c r="D23" s="109" t="str">
        <f t="shared" si="0"/>
        <v>Universidad Nacional de Ingenieria</v>
      </c>
      <c r="E23" s="109" t="str">
        <f t="shared" si="1"/>
        <v>Peru</v>
      </c>
      <c r="F23" s="174" t="str">
        <f t="shared" si="2"/>
        <v>Partner</v>
      </c>
      <c r="G23" s="108" t="s">
        <v>666</v>
      </c>
      <c r="H23" s="64">
        <v>44251</v>
      </c>
      <c r="I23" s="108" t="s">
        <v>642</v>
      </c>
      <c r="J23" s="108" t="s">
        <v>670</v>
      </c>
      <c r="K23" s="107">
        <v>1465.08</v>
      </c>
      <c r="L23" s="107">
        <v>0</v>
      </c>
      <c r="M23" s="22" t="s">
        <v>641</v>
      </c>
      <c r="N23" s="22" t="s">
        <v>482</v>
      </c>
      <c r="O23" s="193">
        <v>0</v>
      </c>
      <c r="P23" s="194">
        <f t="shared" si="3"/>
        <v>0.82599999999999996</v>
      </c>
      <c r="Q23" s="93">
        <f t="shared" si="7"/>
        <v>1465.08</v>
      </c>
      <c r="R23" s="195">
        <f t="shared" si="4"/>
        <v>1210.1600000000001</v>
      </c>
      <c r="S23" s="23" t="str">
        <f t="shared" si="5"/>
        <v/>
      </c>
    </row>
    <row r="24" spans="2:19" s="26" customFormat="1" ht="54" x14ac:dyDescent="0.35">
      <c r="B24" s="108" t="s">
        <v>155</v>
      </c>
      <c r="C24" s="22" t="s">
        <v>12</v>
      </c>
      <c r="D24" s="109" t="str">
        <f t="shared" si="0"/>
        <v>Universidad Nacional de Ingenieria</v>
      </c>
      <c r="E24" s="109" t="str">
        <f t="shared" si="1"/>
        <v>Peru</v>
      </c>
      <c r="F24" s="174" t="str">
        <f t="shared" si="2"/>
        <v>Partner</v>
      </c>
      <c r="G24" s="108" t="s">
        <v>667</v>
      </c>
      <c r="H24" s="64">
        <v>44307</v>
      </c>
      <c r="I24" s="108" t="s">
        <v>643</v>
      </c>
      <c r="J24" s="108" t="s">
        <v>669</v>
      </c>
      <c r="K24" s="107">
        <v>4813.5600000000004</v>
      </c>
      <c r="L24" s="107">
        <v>866.44</v>
      </c>
      <c r="M24" s="22" t="s">
        <v>641</v>
      </c>
      <c r="N24" s="22" t="s">
        <v>482</v>
      </c>
      <c r="O24" s="193">
        <v>0</v>
      </c>
      <c r="P24" s="194">
        <f t="shared" si="3"/>
        <v>0.82599999999999996</v>
      </c>
      <c r="Q24" s="93">
        <f t="shared" si="7"/>
        <v>5680</v>
      </c>
      <c r="R24" s="195">
        <f t="shared" si="4"/>
        <v>4691.68</v>
      </c>
      <c r="S24" s="23" t="str">
        <f t="shared" si="5"/>
        <v/>
      </c>
    </row>
  </sheetData>
  <sheetProtection algorithmName="SHA-512" hashValue="vrI5RhYAcGifjDSkLrPGf93RhJTkFuOBSsg4yrLoMUI1nMK1YVZoY29EGmtbkcpC9QivDYaH0v8xfk7Ku2q7qg==" saltValue="5khoeTIXXvb2LQEIziCJlg==" spinCount="100000" sheet="1" objects="1" scenarios="1" selectLockedCells="1"/>
  <dataConsolidate/>
  <mergeCells count="5">
    <mergeCell ref="B2:S2"/>
    <mergeCell ref="B4:C6"/>
    <mergeCell ref="D4:D6"/>
    <mergeCell ref="E4:E6"/>
    <mergeCell ref="K3:S7"/>
  </mergeCells>
  <conditionalFormatting sqref="E4:F6">
    <cfRule type="cellIs" dxfId="287" priority="600" operator="notEqual">
      <formula>""</formula>
    </cfRule>
  </conditionalFormatting>
  <conditionalFormatting sqref="D9:D10">
    <cfRule type="cellIs" dxfId="286" priority="599" operator="equal">
      <formula>""</formula>
    </cfRule>
  </conditionalFormatting>
  <conditionalFormatting sqref="E9:E10">
    <cfRule type="expression" dxfId="285" priority="598">
      <formula>COUNTIF(CountryEligEquip,E9)=0</formula>
    </cfRule>
  </conditionalFormatting>
  <conditionalFormatting sqref="F9:F10">
    <cfRule type="expression" dxfId="284" priority="330">
      <formula>COUNTIF(Role_Code,F9)=0</formula>
    </cfRule>
  </conditionalFormatting>
  <conditionalFormatting sqref="S9:S10">
    <cfRule type="containsText" dxfId="283" priority="249" operator="containsText" text="Error">
      <formula>NOT(ISERROR(SEARCH("Error",S9)))</formula>
    </cfRule>
  </conditionalFormatting>
  <conditionalFormatting sqref="D22">
    <cfRule type="cellIs" dxfId="282" priority="88" operator="equal">
      <formula>""</formula>
    </cfRule>
  </conditionalFormatting>
  <conditionalFormatting sqref="E22">
    <cfRule type="expression" dxfId="281" priority="87">
      <formula>COUNTIF(CountryEligEquip,E22)=0</formula>
    </cfRule>
  </conditionalFormatting>
  <conditionalFormatting sqref="F22">
    <cfRule type="expression" dxfId="280" priority="86">
      <formula>COUNTIF(Role_Code,F22)=0</formula>
    </cfRule>
  </conditionalFormatting>
  <conditionalFormatting sqref="S22">
    <cfRule type="containsText" dxfId="279" priority="85" operator="containsText" text="Error">
      <formula>NOT(ISERROR(SEARCH("Error",S22)))</formula>
    </cfRule>
  </conditionalFormatting>
  <conditionalFormatting sqref="D13">
    <cfRule type="cellIs" dxfId="278" priority="60" operator="equal">
      <formula>""</formula>
    </cfRule>
  </conditionalFormatting>
  <conditionalFormatting sqref="E13">
    <cfRule type="expression" dxfId="277" priority="59">
      <formula>COUNTIF(CountryEligEquip,E13)=0</formula>
    </cfRule>
  </conditionalFormatting>
  <conditionalFormatting sqref="F13">
    <cfRule type="expression" dxfId="276" priority="58">
      <formula>COUNTIF(Role_Code,F13)=0</formula>
    </cfRule>
  </conditionalFormatting>
  <conditionalFormatting sqref="S13">
    <cfRule type="containsText" dxfId="275" priority="57" operator="containsText" text="Error">
      <formula>NOT(ISERROR(SEARCH("Error",S13)))</formula>
    </cfRule>
  </conditionalFormatting>
  <conditionalFormatting sqref="D16">
    <cfRule type="cellIs" dxfId="274" priority="56" operator="equal">
      <formula>""</formula>
    </cfRule>
  </conditionalFormatting>
  <conditionalFormatting sqref="E16">
    <cfRule type="expression" dxfId="273" priority="55">
      <formula>COUNTIF(CountryEligEquip,E16)=0</formula>
    </cfRule>
  </conditionalFormatting>
  <conditionalFormatting sqref="F16">
    <cfRule type="expression" dxfId="272" priority="54">
      <formula>COUNTIF(Role_Code,F16)=0</formula>
    </cfRule>
  </conditionalFormatting>
  <conditionalFormatting sqref="S16">
    <cfRule type="containsText" dxfId="271" priority="53" operator="containsText" text="Error">
      <formula>NOT(ISERROR(SEARCH("Error",S16)))</formula>
    </cfRule>
  </conditionalFormatting>
  <conditionalFormatting sqref="D18">
    <cfRule type="cellIs" dxfId="270" priority="52" operator="equal">
      <formula>""</formula>
    </cfRule>
  </conditionalFormatting>
  <conditionalFormatting sqref="E18">
    <cfRule type="expression" dxfId="269" priority="51">
      <formula>COUNTIF(CountryEligEquip,E18)=0</formula>
    </cfRule>
  </conditionalFormatting>
  <conditionalFormatting sqref="F18">
    <cfRule type="expression" dxfId="268" priority="50">
      <formula>COUNTIF(Role_Code,F18)=0</formula>
    </cfRule>
  </conditionalFormatting>
  <conditionalFormatting sqref="S18">
    <cfRule type="containsText" dxfId="267" priority="49" operator="containsText" text="Error">
      <formula>NOT(ISERROR(SEARCH("Error",S18)))</formula>
    </cfRule>
  </conditionalFormatting>
  <conditionalFormatting sqref="D20">
    <cfRule type="cellIs" dxfId="266" priority="48" operator="equal">
      <formula>""</formula>
    </cfRule>
  </conditionalFormatting>
  <conditionalFormatting sqref="E20">
    <cfRule type="expression" dxfId="265" priority="47">
      <formula>COUNTIF(CountryEligEquip,E20)=0</formula>
    </cfRule>
  </conditionalFormatting>
  <conditionalFormatting sqref="F20">
    <cfRule type="expression" dxfId="264" priority="46">
      <formula>COUNTIF(Role_Code,F20)=0</formula>
    </cfRule>
  </conditionalFormatting>
  <conditionalFormatting sqref="S20">
    <cfRule type="containsText" dxfId="263" priority="45" operator="containsText" text="Error">
      <formula>NOT(ISERROR(SEARCH("Error",S20)))</formula>
    </cfRule>
  </conditionalFormatting>
  <conditionalFormatting sqref="D11">
    <cfRule type="cellIs" dxfId="262" priority="40" operator="equal">
      <formula>""</formula>
    </cfRule>
  </conditionalFormatting>
  <conditionalFormatting sqref="E11">
    <cfRule type="expression" dxfId="261" priority="39">
      <formula>COUNTIF(CountryEligEquip,E11)=0</formula>
    </cfRule>
  </conditionalFormatting>
  <conditionalFormatting sqref="F11">
    <cfRule type="expression" dxfId="260" priority="38">
      <formula>COUNTIF(Role_Code,F11)=0</formula>
    </cfRule>
  </conditionalFormatting>
  <conditionalFormatting sqref="S11">
    <cfRule type="containsText" dxfId="259" priority="37" operator="containsText" text="Error">
      <formula>NOT(ISERROR(SEARCH("Error",S11)))</formula>
    </cfRule>
  </conditionalFormatting>
  <conditionalFormatting sqref="D14">
    <cfRule type="cellIs" dxfId="258" priority="36" operator="equal">
      <formula>""</formula>
    </cfRule>
  </conditionalFormatting>
  <conditionalFormatting sqref="E14">
    <cfRule type="expression" dxfId="257" priority="35">
      <formula>COUNTIF(CountryEligEquip,E14)=0</formula>
    </cfRule>
  </conditionalFormatting>
  <conditionalFormatting sqref="F14">
    <cfRule type="expression" dxfId="256" priority="34">
      <formula>COUNTIF(Role_Code,F14)=0</formula>
    </cfRule>
  </conditionalFormatting>
  <conditionalFormatting sqref="S14">
    <cfRule type="containsText" dxfId="255" priority="33" operator="containsText" text="Error">
      <formula>NOT(ISERROR(SEARCH("Error",S14)))</formula>
    </cfRule>
  </conditionalFormatting>
  <conditionalFormatting sqref="D17">
    <cfRule type="cellIs" dxfId="254" priority="32" operator="equal">
      <formula>""</formula>
    </cfRule>
  </conditionalFormatting>
  <conditionalFormatting sqref="E17">
    <cfRule type="expression" dxfId="253" priority="31">
      <formula>COUNTIF(CountryEligEquip,E17)=0</formula>
    </cfRule>
  </conditionalFormatting>
  <conditionalFormatting sqref="F17">
    <cfRule type="expression" dxfId="252" priority="30">
      <formula>COUNTIF(Role_Code,F17)=0</formula>
    </cfRule>
  </conditionalFormatting>
  <conditionalFormatting sqref="S17">
    <cfRule type="containsText" dxfId="251" priority="29" operator="containsText" text="Error">
      <formula>NOT(ISERROR(SEARCH("Error",S17)))</formula>
    </cfRule>
  </conditionalFormatting>
  <conditionalFormatting sqref="D19">
    <cfRule type="cellIs" dxfId="250" priority="28" operator="equal">
      <formula>""</formula>
    </cfRule>
  </conditionalFormatting>
  <conditionalFormatting sqref="E19">
    <cfRule type="expression" dxfId="249" priority="27">
      <formula>COUNTIF(CountryEligEquip,E19)=0</formula>
    </cfRule>
  </conditionalFormatting>
  <conditionalFormatting sqref="F19">
    <cfRule type="expression" dxfId="248" priority="26">
      <formula>COUNTIF(Role_Code,F19)=0</formula>
    </cfRule>
  </conditionalFormatting>
  <conditionalFormatting sqref="S19">
    <cfRule type="containsText" dxfId="247" priority="25" operator="containsText" text="Error">
      <formula>NOT(ISERROR(SEARCH("Error",S19)))</formula>
    </cfRule>
  </conditionalFormatting>
  <conditionalFormatting sqref="D21">
    <cfRule type="cellIs" dxfId="246" priority="24" operator="equal">
      <formula>""</formula>
    </cfRule>
  </conditionalFormatting>
  <conditionalFormatting sqref="E21">
    <cfRule type="expression" dxfId="245" priority="23">
      <formula>COUNTIF(CountryEligEquip,E21)=0</formula>
    </cfRule>
  </conditionalFormatting>
  <conditionalFormatting sqref="F21">
    <cfRule type="expression" dxfId="244" priority="22">
      <formula>COUNTIF(Role_Code,F21)=0</formula>
    </cfRule>
  </conditionalFormatting>
  <conditionalFormatting sqref="S21">
    <cfRule type="containsText" dxfId="243" priority="21" operator="containsText" text="Error">
      <formula>NOT(ISERROR(SEARCH("Error",S21)))</formula>
    </cfRule>
  </conditionalFormatting>
  <conditionalFormatting sqref="D23">
    <cfRule type="cellIs" dxfId="242" priority="20" operator="equal">
      <formula>""</formula>
    </cfRule>
  </conditionalFormatting>
  <conditionalFormatting sqref="E23">
    <cfRule type="expression" dxfId="241" priority="19">
      <formula>COUNTIF(CountryEligEquip,E23)=0</formula>
    </cfRule>
  </conditionalFormatting>
  <conditionalFormatting sqref="F23">
    <cfRule type="expression" dxfId="240" priority="18">
      <formula>COUNTIF(Role_Code,F23)=0</formula>
    </cfRule>
  </conditionalFormatting>
  <conditionalFormatting sqref="S23">
    <cfRule type="containsText" dxfId="239" priority="17" operator="containsText" text="Error">
      <formula>NOT(ISERROR(SEARCH("Error",S23)))</formula>
    </cfRule>
  </conditionalFormatting>
  <conditionalFormatting sqref="D12">
    <cfRule type="cellIs" dxfId="238" priority="16" operator="equal">
      <formula>""</formula>
    </cfRule>
  </conditionalFormatting>
  <conditionalFormatting sqref="E12">
    <cfRule type="expression" dxfId="237" priority="15">
      <formula>COUNTIF(CountryEligEquip,E12)=0</formula>
    </cfRule>
  </conditionalFormatting>
  <conditionalFormatting sqref="F12">
    <cfRule type="expression" dxfId="236" priority="14">
      <formula>COUNTIF(Role_Code,F12)=0</formula>
    </cfRule>
  </conditionalFormatting>
  <conditionalFormatting sqref="S12">
    <cfRule type="containsText" dxfId="235" priority="13" operator="containsText" text="Error">
      <formula>NOT(ISERROR(SEARCH("Error",S12)))</formula>
    </cfRule>
  </conditionalFormatting>
  <conditionalFormatting sqref="D15">
    <cfRule type="cellIs" dxfId="234" priority="12" operator="equal">
      <formula>""</formula>
    </cfRule>
  </conditionalFormatting>
  <conditionalFormatting sqref="E15">
    <cfRule type="expression" dxfId="233" priority="11">
      <formula>COUNTIF(CountryEligEquip,E15)=0</formula>
    </cfRule>
  </conditionalFormatting>
  <conditionalFormatting sqref="F15">
    <cfRule type="expression" dxfId="232" priority="10">
      <formula>COUNTIF(Role_Code,F15)=0</formula>
    </cfRule>
  </conditionalFormatting>
  <conditionalFormatting sqref="S15">
    <cfRule type="containsText" dxfId="231" priority="9" operator="containsText" text="Error">
      <formula>NOT(ISERROR(SEARCH("Error",S15)))</formula>
    </cfRule>
  </conditionalFormatting>
  <conditionalFormatting sqref="D24">
    <cfRule type="cellIs" dxfId="230" priority="8" operator="equal">
      <formula>""</formula>
    </cfRule>
  </conditionalFormatting>
  <conditionalFormatting sqref="E24">
    <cfRule type="expression" dxfId="229" priority="7">
      <formula>COUNTIF(CountryEligEquip,E24)=0</formula>
    </cfRule>
  </conditionalFormatting>
  <conditionalFormatting sqref="F24">
    <cfRule type="expression" dxfId="228" priority="6">
      <formula>COUNTIF(Role_Code,F24)=0</formula>
    </cfRule>
  </conditionalFormatting>
  <conditionalFormatting sqref="S24">
    <cfRule type="containsText" dxfId="227" priority="5" operator="containsText" text="Error">
      <formula>NOT(ISERROR(SEARCH("Error",S24)))</formula>
    </cfRule>
  </conditionalFormatting>
  <dataValidations count="11">
    <dataValidation type="list" allowBlank="1" showInputMessage="1" showErrorMessage="1" error="Click arrow to select Work Package" prompt="Click arrow to select Work Package" sqref="B9:B24">
      <formula1>WorkPackage</formula1>
    </dataValidation>
    <dataValidation type="list" allowBlank="1" showInputMessage="1" showErrorMessage="1" error="Click arrow to select Partner N°" prompt="Click arrow to select Partner N°" sqref="C9:C24">
      <formula1>PartnerN°</formula1>
    </dataValidation>
    <dataValidation allowBlank="1" showInputMessage="1" showErrorMessage="1" error="Please encode supporting document ref." prompt="Please encode supporting document ref." sqref="G9:G24"/>
    <dataValidation allowBlank="1" showInputMessage="1" showErrorMessage="1" error="Please encode Nature, type and specifications" prompt="Please encode Nature, type and specifications" sqref="I9:I24"/>
    <dataValidation allowBlank="1" showInputMessage="1" showErrorMessage="1" error="Please encode the name of the company providing the service" prompt="Please encode the name of the company providing the service" sqref="J9:J24"/>
    <dataValidation type="custom" allowBlank="1" showInputMessage="1" showErrorMessage="1" error="Please encode amount only if charged to the project (2 decimals only)" prompt="Please encode amount only if charged to the project (2 decimals only)" sqref="L9:L24">
      <formula1>L9=INT(L9*100)/100</formula1>
    </dataValidation>
    <dataValidation type="date" allowBlank="1" showInputMessage="1" showErrorMessage="1" error="Please encode date (format must be dd/mm/yy)" prompt="Please encode date (format must be dd/mm/yy)" sqref="H9:H24">
      <formula1>36526</formula1>
      <formula2>55153</formula2>
    </dataValidation>
    <dataValidation type="list" allowBlank="1" showInputMessage="1" showErrorMessage="1" error="Click arrow to select Currency" prompt="Click arrow to select Currency" sqref="M9:M24">
      <formula1>Currencies</formula1>
    </dataValidation>
    <dataValidation type="list" allowBlank="1" showInputMessage="1" showErrorMessage="1" error="Click arrow to select Option" prompt="Click arrow to select Option" sqref="N9:N24">
      <formula1>"Average,Usual Practices"</formula1>
    </dataValidation>
    <dataValidation type="custom" allowBlank="1" showInputMessage="1" showErrorMessage="1" error="Please encode the exchange rate (7 decimals only) - Only if option &quot;Usual Practices&quot; is selected" prompt="Please encode the exchange rate (7 decimals only) - Only if option &quot;Usual Practices&quot; is selected" sqref="O9:O24">
      <formula1>O9=INT(O9*10000000)/10000000</formula1>
    </dataValidation>
    <dataValidation type="custom" allowBlank="1" showInputMessage="1" showErrorMessage="1" error="Please encode amount charged to the project (2 decimals only)" prompt="Please encode amount charged to the project (2 decimals only)" sqref="K9:K24">
      <formula1>K9=INT(K9*100)/100</formula1>
    </dataValidation>
  </dataValidations>
  <printOptions horizontalCentered="1"/>
  <pageMargins left="0.23622047244094491" right="0.23622047244094491" top="0.39370078740157483" bottom="0.94488188976377963" header="0.31496062992125984" footer="0.31496062992125984"/>
  <pageSetup paperSize="9" scale="2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38" r:id="rId4" name="Button 1">
              <controlPr defaultSize="0" print="0" autoFill="0" autoPict="0" macro="[0]!AddRow">
                <anchor moveWithCells="1" sizeWithCells="1">
                  <from>
                    <xdr:col>1</xdr:col>
                    <xdr:colOff>38100</xdr:colOff>
                    <xdr:row>1</xdr:row>
                    <xdr:rowOff>57150</xdr:rowOff>
                  </from>
                  <to>
                    <xdr:col>1</xdr:col>
                    <xdr:colOff>1479550</xdr:colOff>
                    <xdr:row>1</xdr:row>
                    <xdr:rowOff>527050</xdr:rowOff>
                  </to>
                </anchor>
              </controlPr>
            </control>
          </mc:Choice>
        </mc:AlternateContent>
        <mc:AlternateContent xmlns:mc="http://schemas.openxmlformats.org/markup-compatibility/2006">
          <mc:Choice Requires="x14">
            <control shapeId="60439" r:id="rId5" name="Button 2">
              <controlPr defaultSize="0" print="0" autoFill="0" autoPict="0" macro="[0]!DeleteRow">
                <anchor moveWithCells="1" sizeWithCells="1">
                  <from>
                    <xdr:col>1</xdr:col>
                    <xdr:colOff>1524000</xdr:colOff>
                    <xdr:row>1</xdr:row>
                    <xdr:rowOff>57150</xdr:rowOff>
                  </from>
                  <to>
                    <xdr:col>2</xdr:col>
                    <xdr:colOff>114300</xdr:colOff>
                    <xdr:row>1</xdr:row>
                    <xdr:rowOff>527050</xdr:rowOff>
                  </to>
                </anchor>
              </controlPr>
            </control>
          </mc:Choice>
        </mc:AlternateContent>
        <mc:AlternateContent xmlns:mc="http://schemas.openxmlformats.org/markup-compatibility/2006">
          <mc:Choice Requires="x14">
            <control shapeId="60440" r:id="rId6" name="Button 3">
              <controlPr defaultSize="0" print="0" autoFill="0" autoPict="0" macro="[0]!DuplicateRow">
                <anchor moveWithCells="1">
                  <from>
                    <xdr:col>2</xdr:col>
                    <xdr:colOff>165100</xdr:colOff>
                    <xdr:row>1</xdr:row>
                    <xdr:rowOff>50800</xdr:rowOff>
                  </from>
                  <to>
                    <xdr:col>3</xdr:col>
                    <xdr:colOff>869950</xdr:colOff>
                    <xdr:row>1</xdr:row>
                    <xdr:rowOff>527050</xdr:rowOff>
                  </to>
                </anchor>
              </controlPr>
            </control>
          </mc:Choice>
        </mc:AlternateContent>
        <mc:AlternateContent xmlns:mc="http://schemas.openxmlformats.org/markup-compatibility/2006">
          <mc:Choice Requires="x14">
            <control shapeId="60441" r:id="rId7" name="Button 25">
              <controlPr defaultSize="0" print="0" autoFill="0" autoPict="0" macro="[0]!Export_Equipment">
                <anchor moveWithCells="1">
                  <from>
                    <xdr:col>3</xdr:col>
                    <xdr:colOff>927100</xdr:colOff>
                    <xdr:row>1</xdr:row>
                    <xdr:rowOff>50800</xdr:rowOff>
                  </from>
                  <to>
                    <xdr:col>3</xdr:col>
                    <xdr:colOff>2355850</xdr:colOff>
                    <xdr:row>1</xdr:row>
                    <xdr:rowOff>527050</xdr:rowOff>
                  </to>
                </anchor>
              </controlPr>
            </control>
          </mc:Choice>
        </mc:AlternateContent>
        <mc:AlternateContent xmlns:mc="http://schemas.openxmlformats.org/markup-compatibility/2006">
          <mc:Choice Requires="x14">
            <control shapeId="60447" r:id="rId8" name="Button 5">
              <controlPr defaultSize="0" print="0" autoFill="0" autoPict="0" macro="[0]!Inforeuro">
                <anchor moveWithCells="1" sizeWithCells="1">
                  <from>
                    <xdr:col>3</xdr:col>
                    <xdr:colOff>2413000</xdr:colOff>
                    <xdr:row>1</xdr:row>
                    <xdr:rowOff>50800</xdr:rowOff>
                  </from>
                  <to>
                    <xdr:col>4</xdr:col>
                    <xdr:colOff>450850</xdr:colOff>
                    <xdr:row>1</xdr:row>
                    <xdr:rowOff>527050</xdr:rowOff>
                  </to>
                </anchor>
              </controlPr>
            </control>
          </mc:Choice>
        </mc:AlternateContent>
        <mc:AlternateContent xmlns:mc="http://schemas.openxmlformats.org/markup-compatibility/2006">
          <mc:Choice Requires="x14">
            <control shapeId="60448" r:id="rId9" name="Button 32">
              <controlPr defaultSize="0" print="0" autoFill="0" autoPict="0" macro="[0]!ECB">
                <anchor moveWithCells="1" sizeWithCells="1">
                  <from>
                    <xdr:col>4</xdr:col>
                    <xdr:colOff>508000</xdr:colOff>
                    <xdr:row>1</xdr:row>
                    <xdr:rowOff>50800</xdr:rowOff>
                  </from>
                  <to>
                    <xdr:col>4</xdr:col>
                    <xdr:colOff>2946400</xdr:colOff>
                    <xdr:row>1</xdr:row>
                    <xdr:rowOff>527050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4" tint="0.59999389629810485"/>
    <pageSetUpPr fitToPage="1"/>
  </sheetPr>
  <dimension ref="B1:S14"/>
  <sheetViews>
    <sheetView showGridLines="0" zoomScale="70" zoomScaleNormal="70" zoomScaleSheetLayoutView="55" workbookViewId="0">
      <pane ySplit="9" topLeftCell="A10" activePane="bottomLeft" state="frozen"/>
      <selection pane="bottomLeft" activeCell="G14" sqref="G14"/>
    </sheetView>
  </sheetViews>
  <sheetFormatPr baseColWidth="10" defaultColWidth="9.1796875" defaultRowHeight="18" x14ac:dyDescent="0.4"/>
  <cols>
    <col min="1" max="1" width="1.7265625" style="5" customWidth="1"/>
    <col min="2" max="2" width="42.7265625" style="5" customWidth="1"/>
    <col min="3" max="3" width="10.7265625" style="5" customWidth="1"/>
    <col min="4" max="5" width="50.7265625" style="5" customWidth="1"/>
    <col min="6" max="6" width="25.7265625" style="178" customWidth="1"/>
    <col min="7" max="8" width="20.7265625" style="5" customWidth="1"/>
    <col min="9" max="9" width="50.7265625" style="5" customWidth="1"/>
    <col min="10" max="10" width="35.7265625" style="5" customWidth="1"/>
    <col min="11" max="18" width="20.7265625" style="5" customWidth="1"/>
    <col min="19" max="19" width="11.26953125" style="5" bestFit="1" customWidth="1"/>
    <col min="20" max="20" width="1.7265625" style="5" customWidth="1"/>
    <col min="21" max="16384" width="9.1796875" style="5"/>
  </cols>
  <sheetData>
    <row r="1" spans="2:19" ht="8.15" customHeight="1" x14ac:dyDescent="0.4"/>
    <row r="2" spans="2:19" s="8" customFormat="1" ht="45" customHeight="1" x14ac:dyDescent="0.4">
      <c r="B2" s="313" t="s">
        <v>164</v>
      </c>
      <c r="C2" s="313"/>
      <c r="D2" s="313"/>
      <c r="E2" s="313"/>
      <c r="F2" s="313"/>
      <c r="G2" s="313"/>
      <c r="H2" s="313"/>
      <c r="I2" s="313"/>
      <c r="J2" s="313"/>
      <c r="K2" s="314"/>
      <c r="L2" s="314"/>
      <c r="M2" s="314"/>
      <c r="N2" s="314"/>
      <c r="O2" s="314"/>
      <c r="P2" s="314"/>
      <c r="Q2" s="314"/>
      <c r="R2" s="314"/>
      <c r="S2" s="314"/>
    </row>
    <row r="3" spans="2:19" s="8" customFormat="1" ht="7.5" customHeight="1" x14ac:dyDescent="0.4">
      <c r="B3" s="19"/>
      <c r="F3" s="145"/>
      <c r="K3" s="317" t="s">
        <v>536</v>
      </c>
      <c r="L3" s="318"/>
      <c r="M3" s="318"/>
      <c r="N3" s="318"/>
      <c r="O3" s="318"/>
      <c r="P3" s="318"/>
      <c r="Q3" s="318"/>
      <c r="R3" s="318"/>
      <c r="S3" s="319"/>
    </row>
    <row r="4" spans="2:19" s="8" customFormat="1" ht="20.149999999999999" customHeight="1" x14ac:dyDescent="0.4">
      <c r="B4" s="292" t="s">
        <v>379</v>
      </c>
      <c r="C4" s="292"/>
      <c r="D4" s="315">
        <f>SUMIF(S:S,"&lt;&gt;Error",R:R)</f>
        <v>18654.940000000002</v>
      </c>
      <c r="E4" s="316" t="str">
        <f>IF(D4&gt;ROUND('Final financial statement'!D16*1.1,2),"Exceeds Grant Awarded + 10%","")</f>
        <v/>
      </c>
      <c r="F4" s="176"/>
      <c r="K4" s="320"/>
      <c r="L4" s="321"/>
      <c r="M4" s="321"/>
      <c r="N4" s="321"/>
      <c r="O4" s="321"/>
      <c r="P4" s="321"/>
      <c r="Q4" s="321"/>
      <c r="R4" s="321"/>
      <c r="S4" s="322"/>
    </row>
    <row r="5" spans="2:19" s="8" customFormat="1" ht="20.149999999999999" customHeight="1" x14ac:dyDescent="0.4">
      <c r="B5" s="292"/>
      <c r="C5" s="292"/>
      <c r="D5" s="315"/>
      <c r="E5" s="316"/>
      <c r="F5" s="176"/>
      <c r="K5" s="320"/>
      <c r="L5" s="321"/>
      <c r="M5" s="321"/>
      <c r="N5" s="321"/>
      <c r="O5" s="321"/>
      <c r="P5" s="321"/>
      <c r="Q5" s="321"/>
      <c r="R5" s="321"/>
      <c r="S5" s="322"/>
    </row>
    <row r="6" spans="2:19" s="8" customFormat="1" ht="8.15" customHeight="1" x14ac:dyDescent="0.4">
      <c r="B6" s="292"/>
      <c r="C6" s="292"/>
      <c r="D6" s="315"/>
      <c r="E6" s="316"/>
      <c r="F6" s="176"/>
      <c r="K6" s="320"/>
      <c r="L6" s="321"/>
      <c r="M6" s="321"/>
      <c r="N6" s="321"/>
      <c r="O6" s="321"/>
      <c r="P6" s="321"/>
      <c r="Q6" s="321"/>
      <c r="R6" s="321"/>
      <c r="S6" s="322"/>
    </row>
    <row r="7" spans="2:19" s="8" customFormat="1" ht="8.15" customHeight="1" x14ac:dyDescent="0.4">
      <c r="B7" s="9"/>
      <c r="C7" s="10"/>
      <c r="D7" s="10"/>
      <c r="E7" s="10"/>
      <c r="F7" s="179"/>
      <c r="G7" s="10"/>
      <c r="H7" s="10"/>
      <c r="I7" s="10"/>
      <c r="J7" s="10"/>
      <c r="K7" s="323"/>
      <c r="L7" s="324"/>
      <c r="M7" s="324"/>
      <c r="N7" s="324"/>
      <c r="O7" s="324"/>
      <c r="P7" s="324"/>
      <c r="Q7" s="324"/>
      <c r="R7" s="324"/>
      <c r="S7" s="325"/>
    </row>
    <row r="8" spans="2:19" s="30" customFormat="1" ht="126" x14ac:dyDescent="0.4">
      <c r="B8" s="212" t="s">
        <v>151</v>
      </c>
      <c r="C8" s="212" t="s">
        <v>142</v>
      </c>
      <c r="D8" s="212" t="s">
        <v>488</v>
      </c>
      <c r="E8" s="212" t="s">
        <v>486</v>
      </c>
      <c r="F8" s="212" t="s">
        <v>487</v>
      </c>
      <c r="G8" s="212" t="s">
        <v>200</v>
      </c>
      <c r="H8" s="212" t="s">
        <v>496</v>
      </c>
      <c r="I8" s="126" t="s">
        <v>128</v>
      </c>
      <c r="J8" s="126" t="s">
        <v>224</v>
      </c>
      <c r="K8" s="213" t="s">
        <v>523</v>
      </c>
      <c r="L8" s="213" t="s">
        <v>522</v>
      </c>
      <c r="M8" s="213" t="s">
        <v>484</v>
      </c>
      <c r="N8" s="213" t="s">
        <v>483</v>
      </c>
      <c r="O8" s="213" t="s">
        <v>509</v>
      </c>
      <c r="P8" s="213" t="s">
        <v>506</v>
      </c>
      <c r="Q8" s="213" t="s">
        <v>511</v>
      </c>
      <c r="R8" s="213" t="s">
        <v>512</v>
      </c>
      <c r="S8" s="213" t="s">
        <v>184</v>
      </c>
    </row>
    <row r="9" spans="2:19" s="26" customFormat="1" hidden="1" x14ac:dyDescent="0.35">
      <c r="B9" s="108"/>
      <c r="C9" s="22"/>
      <c r="D9" s="109" t="str">
        <f t="shared" ref="D9:D14" si="0">IFERROR(IF(VLOOKUP(C9,PartnerN°Ref,2,FALSE)=0,"",VLOOKUP(C9,PartnerN°Ref,2,FALSE)),"")</f>
        <v/>
      </c>
      <c r="E9" s="109" t="str">
        <f t="shared" ref="E9:E14" si="1">IFERROR(IF(VLOOKUP(C9,PartnerN°Ref,3,FALSE)=0,"",VLOOKUP(C9,PartnerN°Ref,3,FALSE)),"")</f>
        <v/>
      </c>
      <c r="F9" s="174" t="str">
        <f t="shared" ref="F9:F14" si="2">IFERROR(IF(VLOOKUP(C9,PartnerN°Ref,4,FALSE)=0,"",VLOOKUP(C9,PartnerN°Ref,4,FALSE)),"")</f>
        <v/>
      </c>
      <c r="G9" s="108"/>
      <c r="H9" s="64"/>
      <c r="I9" s="108"/>
      <c r="J9" s="108"/>
      <c r="K9" s="107">
        <v>0</v>
      </c>
      <c r="L9" s="107">
        <v>0</v>
      </c>
      <c r="M9" s="22"/>
      <c r="N9" s="22"/>
      <c r="O9" s="193">
        <v>0</v>
      </c>
      <c r="P9" s="194">
        <f t="shared" ref="P9:P14" si="3">IFERROR(VLOOKUP(M9,Exchange_Rates,2,FALSE),0)</f>
        <v>0</v>
      </c>
      <c r="Q9" s="93">
        <f>K9+L9</f>
        <v>0</v>
      </c>
      <c r="R9" s="195">
        <f t="shared" ref="R9:R14" si="4">IF(S9="Error",0,IF(N9="Average",ROUND(Q9*P9,2),IF(N9="Usual Practices",ROUND(Q9*O9,2),0)))</f>
        <v>0</v>
      </c>
      <c r="S9" s="23" t="str">
        <f t="shared" ref="S9:S14" si="5">IF(OR(COUNTBLANK(B9:O9)&gt;0,COUNTIF(WorkPackage,B9)=0,COUNTIF(PartnerN°,C9)=0,COUNTIF(CountryALL,E9)=0,COUNTIF(Role_Code,F9)=0,ISNUMBER(K9)=FALSE,IF(ISNUMBER(K9)=TRUE,K9=INT(K9*100)/100=FALSE),ISNUMBER(L9)=FALSE,IF(ISNUMBER(L9)=TRUE,L9=INT(L9*100)/100=FALSE),COUNTIF(Currencies,M9)=0,COUNTIF(Option,N9)=0,ISNUMBER(O9)=FALSE,IF(ISNUMBER(O9)=TRUE,O9=INT(O9*10000000)/10000000=FALSE),ISNUMBER(P9)=FALSE,IF(ISNUMBER(P9)=TRUE,P9=INT(P9*10000000)/10000000=FALSE)),"Error","")</f>
        <v>Error</v>
      </c>
    </row>
    <row r="10" spans="2:19" s="26" customFormat="1" ht="54" x14ac:dyDescent="0.35">
      <c r="B10" s="108" t="s">
        <v>196</v>
      </c>
      <c r="C10" s="22" t="s">
        <v>6</v>
      </c>
      <c r="D10" s="109" t="str">
        <f t="shared" si="0"/>
        <v>Université de Paris</v>
      </c>
      <c r="E10" s="109" t="str">
        <f t="shared" si="1"/>
        <v>France</v>
      </c>
      <c r="F10" s="174" t="str">
        <f t="shared" si="2"/>
        <v>Coord</v>
      </c>
      <c r="G10" s="108" t="s">
        <v>672</v>
      </c>
      <c r="H10" s="64">
        <v>44197</v>
      </c>
      <c r="I10" s="108" t="s">
        <v>645</v>
      </c>
      <c r="J10" s="108" t="s">
        <v>646</v>
      </c>
      <c r="K10" s="107">
        <v>7276.2</v>
      </c>
      <c r="L10" s="107">
        <v>1773.8</v>
      </c>
      <c r="M10" s="22" t="s">
        <v>635</v>
      </c>
      <c r="N10" s="22" t="s">
        <v>482</v>
      </c>
      <c r="O10" s="193">
        <v>0</v>
      </c>
      <c r="P10" s="194">
        <f t="shared" si="3"/>
        <v>1</v>
      </c>
      <c r="Q10" s="93">
        <f t="shared" ref="Q10" si="6">K10+L10</f>
        <v>9050</v>
      </c>
      <c r="R10" s="195">
        <f t="shared" si="4"/>
        <v>9050</v>
      </c>
      <c r="S10" s="23" t="str">
        <f t="shared" si="5"/>
        <v/>
      </c>
    </row>
    <row r="11" spans="2:19" s="26" customFormat="1" ht="36" x14ac:dyDescent="0.35">
      <c r="B11" s="108" t="s">
        <v>155</v>
      </c>
      <c r="C11" s="22" t="s">
        <v>7</v>
      </c>
      <c r="D11" s="109" t="str">
        <f t="shared" si="0"/>
        <v>Universidad Industrial de Santander</v>
      </c>
      <c r="E11" s="109" t="str">
        <f t="shared" si="1"/>
        <v>Colombia</v>
      </c>
      <c r="F11" s="174" t="str">
        <f t="shared" si="2"/>
        <v>Partner</v>
      </c>
      <c r="G11" s="108" t="s">
        <v>674</v>
      </c>
      <c r="H11" s="64">
        <v>44158</v>
      </c>
      <c r="I11" s="108" t="s">
        <v>648</v>
      </c>
      <c r="J11" s="108" t="s">
        <v>603</v>
      </c>
      <c r="K11" s="107">
        <v>599.86</v>
      </c>
      <c r="L11" s="107">
        <v>0</v>
      </c>
      <c r="M11" s="22" t="s">
        <v>635</v>
      </c>
      <c r="N11" s="22" t="s">
        <v>482</v>
      </c>
      <c r="O11" s="193">
        <v>0</v>
      </c>
      <c r="P11" s="194">
        <f t="shared" si="3"/>
        <v>1</v>
      </c>
      <c r="Q11" s="93">
        <f>K11+L11</f>
        <v>599.86</v>
      </c>
      <c r="R11" s="195">
        <f t="shared" si="4"/>
        <v>599.86</v>
      </c>
      <c r="S11" s="23" t="str">
        <f t="shared" si="5"/>
        <v/>
      </c>
    </row>
    <row r="12" spans="2:19" s="26" customFormat="1" ht="36" x14ac:dyDescent="0.35">
      <c r="B12" s="108" t="s">
        <v>155</v>
      </c>
      <c r="C12" s="22" t="s">
        <v>7</v>
      </c>
      <c r="D12" s="109" t="str">
        <f t="shared" si="0"/>
        <v>Universidad Industrial de Santander</v>
      </c>
      <c r="E12" s="109" t="str">
        <f t="shared" si="1"/>
        <v>Colombia</v>
      </c>
      <c r="F12" s="174" t="str">
        <f t="shared" si="2"/>
        <v>Partner</v>
      </c>
      <c r="G12" s="108" t="s">
        <v>675</v>
      </c>
      <c r="H12" s="64">
        <v>44214</v>
      </c>
      <c r="I12" s="108" t="s">
        <v>648</v>
      </c>
      <c r="J12" s="108" t="s">
        <v>603</v>
      </c>
      <c r="K12" s="107">
        <v>3772.54</v>
      </c>
      <c r="L12" s="107">
        <v>0</v>
      </c>
      <c r="M12" s="22" t="s">
        <v>635</v>
      </c>
      <c r="N12" s="22" t="s">
        <v>482</v>
      </c>
      <c r="O12" s="193">
        <v>0</v>
      </c>
      <c r="P12" s="194">
        <f t="shared" si="3"/>
        <v>1</v>
      </c>
      <c r="Q12" s="93">
        <f>K12+L12</f>
        <v>3772.54</v>
      </c>
      <c r="R12" s="195">
        <f t="shared" si="4"/>
        <v>3772.54</v>
      </c>
      <c r="S12" s="23" t="str">
        <f t="shared" si="5"/>
        <v/>
      </c>
    </row>
    <row r="13" spans="2:19" s="26" customFormat="1" ht="36" x14ac:dyDescent="0.35">
      <c r="B13" s="108" t="s">
        <v>155</v>
      </c>
      <c r="C13" s="22" t="s">
        <v>7</v>
      </c>
      <c r="D13" s="109" t="str">
        <f t="shared" si="0"/>
        <v>Universidad Industrial de Santander</v>
      </c>
      <c r="E13" s="109" t="str">
        <f t="shared" si="1"/>
        <v>Colombia</v>
      </c>
      <c r="F13" s="174" t="str">
        <f t="shared" si="2"/>
        <v>Partner</v>
      </c>
      <c r="G13" s="108" t="s">
        <v>675</v>
      </c>
      <c r="H13" s="64">
        <v>44378</v>
      </c>
      <c r="I13" s="108" t="s">
        <v>648</v>
      </c>
      <c r="J13" s="108" t="s">
        <v>603</v>
      </c>
      <c r="K13" s="107">
        <v>872.77</v>
      </c>
      <c r="L13" s="107">
        <v>0</v>
      </c>
      <c r="M13" s="22" t="s">
        <v>635</v>
      </c>
      <c r="N13" s="22" t="s">
        <v>482</v>
      </c>
      <c r="O13" s="193">
        <v>0</v>
      </c>
      <c r="P13" s="194">
        <f t="shared" si="3"/>
        <v>1</v>
      </c>
      <c r="Q13" s="93">
        <f>K13+L13</f>
        <v>872.77</v>
      </c>
      <c r="R13" s="195">
        <f t="shared" si="4"/>
        <v>872.77</v>
      </c>
      <c r="S13" s="23" t="str">
        <f t="shared" si="5"/>
        <v/>
      </c>
    </row>
    <row r="14" spans="2:19" s="26" customFormat="1" ht="36" x14ac:dyDescent="0.35">
      <c r="B14" s="108" t="s">
        <v>155</v>
      </c>
      <c r="C14" s="22" t="s">
        <v>7</v>
      </c>
      <c r="D14" s="109" t="str">
        <f t="shared" si="0"/>
        <v>Universidad Industrial de Santander</v>
      </c>
      <c r="E14" s="109" t="str">
        <f t="shared" si="1"/>
        <v>Colombia</v>
      </c>
      <c r="F14" s="174" t="str">
        <f t="shared" si="2"/>
        <v>Partner</v>
      </c>
      <c r="G14" s="108" t="s">
        <v>673</v>
      </c>
      <c r="H14" s="64">
        <v>44246</v>
      </c>
      <c r="I14" s="108" t="s">
        <v>649</v>
      </c>
      <c r="J14" s="108" t="s">
        <v>650</v>
      </c>
      <c r="K14" s="107">
        <v>4359.7700000000004</v>
      </c>
      <c r="L14" s="107">
        <v>0</v>
      </c>
      <c r="M14" s="22" t="s">
        <v>635</v>
      </c>
      <c r="N14" s="22" t="s">
        <v>482</v>
      </c>
      <c r="O14" s="193">
        <v>0</v>
      </c>
      <c r="P14" s="194">
        <f t="shared" si="3"/>
        <v>1</v>
      </c>
      <c r="Q14" s="93">
        <f>K14+L14</f>
        <v>4359.7700000000004</v>
      </c>
      <c r="R14" s="195">
        <f t="shared" si="4"/>
        <v>4359.7700000000004</v>
      </c>
      <c r="S14" s="23" t="str">
        <f t="shared" si="5"/>
        <v/>
      </c>
    </row>
  </sheetData>
  <sheetProtection algorithmName="SHA-512" hashValue="iED+VCpGZeFA+JppD06O2k6j2TFi3Ny461cPcBsLbZMWAoupnky8E4P/5ePNbEAgRz8dA1syBm5uGfsMT2T/jg==" saltValue="/TUebL41Wt7dwvPnll96Pw==" spinCount="100000" sheet="1" objects="1" scenarios="1" selectLockedCells="1"/>
  <dataConsolidate/>
  <mergeCells count="5">
    <mergeCell ref="B2:S2"/>
    <mergeCell ref="B4:C6"/>
    <mergeCell ref="D4:D6"/>
    <mergeCell ref="E4:E6"/>
    <mergeCell ref="K3:S7"/>
  </mergeCells>
  <conditionalFormatting sqref="E4:F6">
    <cfRule type="cellIs" dxfId="226" priority="308" operator="notEqual">
      <formula>""</formula>
    </cfRule>
  </conditionalFormatting>
  <conditionalFormatting sqref="D9:D10">
    <cfRule type="cellIs" dxfId="225" priority="84" operator="equal">
      <formula>""</formula>
    </cfRule>
  </conditionalFormatting>
  <conditionalFormatting sqref="E9:E10">
    <cfRule type="expression" dxfId="224" priority="83">
      <formula>COUNTIF(CountryALL,E9)=0</formula>
    </cfRule>
  </conditionalFormatting>
  <conditionalFormatting sqref="F9:F10">
    <cfRule type="expression" dxfId="223" priority="82">
      <formula>COUNTIF(Role_Code,F9)=0</formula>
    </cfRule>
  </conditionalFormatting>
  <conditionalFormatting sqref="S9:S10">
    <cfRule type="containsText" dxfId="222" priority="81" operator="containsText" text="Error">
      <formula>NOT(ISERROR(SEARCH("Error",S9)))</formula>
    </cfRule>
  </conditionalFormatting>
  <conditionalFormatting sqref="D11">
    <cfRule type="cellIs" dxfId="221" priority="20" operator="equal">
      <formula>""</formula>
    </cfRule>
  </conditionalFormatting>
  <conditionalFormatting sqref="E11">
    <cfRule type="expression" dxfId="220" priority="19">
      <formula>COUNTIF(CountryALL,E11)=0</formula>
    </cfRule>
  </conditionalFormatting>
  <conditionalFormatting sqref="F11">
    <cfRule type="expression" dxfId="219" priority="18">
      <formula>COUNTIF(Role_Code,F11)=0</formula>
    </cfRule>
  </conditionalFormatting>
  <conditionalFormatting sqref="S11">
    <cfRule type="containsText" dxfId="218" priority="17" operator="containsText" text="Error">
      <formula>NOT(ISERROR(SEARCH("Error",S11)))</formula>
    </cfRule>
  </conditionalFormatting>
  <conditionalFormatting sqref="D12">
    <cfRule type="cellIs" dxfId="217" priority="12" operator="equal">
      <formula>""</formula>
    </cfRule>
  </conditionalFormatting>
  <conditionalFormatting sqref="E12">
    <cfRule type="expression" dxfId="216" priority="11">
      <formula>COUNTIF(CountryALL,E12)=0</formula>
    </cfRule>
  </conditionalFormatting>
  <conditionalFormatting sqref="F12">
    <cfRule type="expression" dxfId="215" priority="10">
      <formula>COUNTIF(Role_Code,F12)=0</formula>
    </cfRule>
  </conditionalFormatting>
  <conditionalFormatting sqref="S12">
    <cfRule type="containsText" dxfId="214" priority="9" operator="containsText" text="Error">
      <formula>NOT(ISERROR(SEARCH("Error",S12)))</formula>
    </cfRule>
  </conditionalFormatting>
  <conditionalFormatting sqref="D13">
    <cfRule type="cellIs" dxfId="213" priority="8" operator="equal">
      <formula>""</formula>
    </cfRule>
  </conditionalFormatting>
  <conditionalFormatting sqref="E13">
    <cfRule type="expression" dxfId="212" priority="7">
      <formula>COUNTIF(CountryALL,E13)=0</formula>
    </cfRule>
  </conditionalFormatting>
  <conditionalFormatting sqref="F13">
    <cfRule type="expression" dxfId="211" priority="6">
      <formula>COUNTIF(Role_Code,F13)=0</formula>
    </cfRule>
  </conditionalFormatting>
  <conditionalFormatting sqref="S13">
    <cfRule type="containsText" dxfId="210" priority="5" operator="containsText" text="Error">
      <formula>NOT(ISERROR(SEARCH("Error",S13)))</formula>
    </cfRule>
  </conditionalFormatting>
  <conditionalFormatting sqref="D14">
    <cfRule type="cellIs" dxfId="209" priority="4" operator="equal">
      <formula>""</formula>
    </cfRule>
  </conditionalFormatting>
  <conditionalFormatting sqref="E14">
    <cfRule type="expression" dxfId="208" priority="3">
      <formula>COUNTIF(CountryALL,E14)=0</formula>
    </cfRule>
  </conditionalFormatting>
  <conditionalFormatting sqref="F14">
    <cfRule type="expression" dxfId="207" priority="2">
      <formula>COUNTIF(Role_Code,F14)=0</formula>
    </cfRule>
  </conditionalFormatting>
  <conditionalFormatting sqref="S14">
    <cfRule type="containsText" dxfId="206" priority="1" operator="containsText" text="Error">
      <formula>NOT(ISERROR(SEARCH("Error",S14)))</formula>
    </cfRule>
  </conditionalFormatting>
  <dataValidations count="11">
    <dataValidation type="date" allowBlank="1" showInputMessage="1" showErrorMessage="1" error="Please encode date (format must be dd/mm/yy)" prompt="Please encode date (format must be dd/mm/yy)" sqref="H9:H14">
      <formula1>36526</formula1>
      <formula2>55153</formula2>
    </dataValidation>
    <dataValidation allowBlank="1" showInputMessage="1" showErrorMessage="1" error="Please encode the name of the company providing the service" prompt="Please encode the name of the company providing the service" sqref="J9:J14"/>
    <dataValidation allowBlank="1" showInputMessage="1" showErrorMessage="1" error="Please encode Nature, type and specifications" prompt="Please encode Nature, type and specifications" sqref="I9:I14"/>
    <dataValidation allowBlank="1" showInputMessage="1" showErrorMessage="1" error="Please encode supporting document ref." prompt="Please encode supporting document ref." sqref="G9:G14"/>
    <dataValidation type="list" allowBlank="1" showInputMessage="1" showErrorMessage="1" error="Click arrow to select Partner N°" prompt="Click arrow to select Partner N°" sqref="C9:C14">
      <formula1>PartnerN°</formula1>
    </dataValidation>
    <dataValidation type="list" allowBlank="1" showInputMessage="1" showErrorMessage="1" error="Click arrow to select Work Package" prompt="Click arrow to select Work Package" sqref="B9:B14">
      <formula1>WorkPackage</formula1>
    </dataValidation>
    <dataValidation type="custom" allowBlank="1" showInputMessage="1" showErrorMessage="1" error="Please encode amount only if charged to the project (2 decimals only)" prompt="Please encode amount only if charged to the project (2 decimals only)" sqref="L9:L14">
      <formula1>L9=INT(L9*100)/100</formula1>
    </dataValidation>
    <dataValidation type="list" allowBlank="1" showInputMessage="1" showErrorMessage="1" error="Click arrow to select Currency" prompt="Click arrow to select Currency" sqref="M9:M14">
      <formula1>Currencies</formula1>
    </dataValidation>
    <dataValidation type="list" allowBlank="1" showInputMessage="1" showErrorMessage="1" error="Click arrow to select Option" prompt="Click arrow to select Option" sqref="N9:N14">
      <formula1>"Average,Usual Practices"</formula1>
    </dataValidation>
    <dataValidation type="custom" allowBlank="1" showInputMessage="1" showErrorMessage="1" error="Please encode the exchange rate (7 decimals only) - Only if option &quot;Usual Practices&quot; is selected" prompt="Please encode the exchange rate (7 decimals only) - Only if option &quot;Usual Practices&quot; is selected" sqref="O9:O14">
      <formula1>O9=INT(O9*10000000)/10000000</formula1>
    </dataValidation>
    <dataValidation type="custom" allowBlank="1" showInputMessage="1" showErrorMessage="1" error="Please encode amount charged to the project (2 decimals only)" prompt="Please encode amount charged to the project (2 decimals only)" sqref="K9:K14">
      <formula1>K9=INT(K9*100)/100</formula1>
    </dataValidation>
  </dataValidations>
  <printOptions horizontalCentered="1"/>
  <pageMargins left="0.23622047244094491" right="0.23622047244094491" top="0.39370078740157483" bottom="0.94488188976377963" header="0.31496062992125984" footer="0.31496062992125984"/>
  <pageSetup paperSize="9" scale="2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107" r:id="rId4" name="Button 1">
              <controlPr defaultSize="0" print="0" autoFill="0" autoPict="0" macro="[0]!AddRow">
                <anchor moveWithCells="1" sizeWithCells="1">
                  <from>
                    <xdr:col>1</xdr:col>
                    <xdr:colOff>38100</xdr:colOff>
                    <xdr:row>1</xdr:row>
                    <xdr:rowOff>57150</xdr:rowOff>
                  </from>
                  <to>
                    <xdr:col>1</xdr:col>
                    <xdr:colOff>1479550</xdr:colOff>
                    <xdr:row>1</xdr:row>
                    <xdr:rowOff>527050</xdr:rowOff>
                  </to>
                </anchor>
              </controlPr>
            </control>
          </mc:Choice>
        </mc:AlternateContent>
        <mc:AlternateContent xmlns:mc="http://schemas.openxmlformats.org/markup-compatibility/2006">
          <mc:Choice Requires="x14">
            <control shapeId="46108" r:id="rId5" name="Button 2">
              <controlPr defaultSize="0" print="0" autoFill="0" autoPict="0" macro="[0]!DeleteRow">
                <anchor moveWithCells="1" sizeWithCells="1">
                  <from>
                    <xdr:col>1</xdr:col>
                    <xdr:colOff>1524000</xdr:colOff>
                    <xdr:row>1</xdr:row>
                    <xdr:rowOff>57150</xdr:rowOff>
                  </from>
                  <to>
                    <xdr:col>2</xdr:col>
                    <xdr:colOff>114300</xdr:colOff>
                    <xdr:row>1</xdr:row>
                    <xdr:rowOff>527050</xdr:rowOff>
                  </to>
                </anchor>
              </controlPr>
            </control>
          </mc:Choice>
        </mc:AlternateContent>
        <mc:AlternateContent xmlns:mc="http://schemas.openxmlformats.org/markup-compatibility/2006">
          <mc:Choice Requires="x14">
            <control shapeId="46109" r:id="rId6" name="Button 3">
              <controlPr defaultSize="0" print="0" autoFill="0" autoPict="0" macro="[0]!DuplicateRow">
                <anchor moveWithCells="1">
                  <from>
                    <xdr:col>2</xdr:col>
                    <xdr:colOff>165100</xdr:colOff>
                    <xdr:row>1</xdr:row>
                    <xdr:rowOff>57150</xdr:rowOff>
                  </from>
                  <to>
                    <xdr:col>3</xdr:col>
                    <xdr:colOff>876300</xdr:colOff>
                    <xdr:row>1</xdr:row>
                    <xdr:rowOff>527050</xdr:rowOff>
                  </to>
                </anchor>
              </controlPr>
            </control>
          </mc:Choice>
        </mc:AlternateContent>
        <mc:AlternateContent xmlns:mc="http://schemas.openxmlformats.org/markup-compatibility/2006">
          <mc:Choice Requires="x14">
            <control shapeId="46110" r:id="rId7" name="Button 30">
              <controlPr defaultSize="0" print="0" autoFill="0" autoPict="0" macro="[0]!Export_Subcontracting">
                <anchor moveWithCells="1">
                  <from>
                    <xdr:col>3</xdr:col>
                    <xdr:colOff>927100</xdr:colOff>
                    <xdr:row>1</xdr:row>
                    <xdr:rowOff>57150</xdr:rowOff>
                  </from>
                  <to>
                    <xdr:col>3</xdr:col>
                    <xdr:colOff>2355850</xdr:colOff>
                    <xdr:row>1</xdr:row>
                    <xdr:rowOff>527050</xdr:rowOff>
                  </to>
                </anchor>
              </controlPr>
            </control>
          </mc:Choice>
        </mc:AlternateContent>
        <mc:AlternateContent xmlns:mc="http://schemas.openxmlformats.org/markup-compatibility/2006">
          <mc:Choice Requires="x14">
            <control shapeId="46118" r:id="rId8" name="Button 5">
              <controlPr defaultSize="0" print="0" autoFill="0" autoPict="0" macro="[0]!Inforeuro">
                <anchor moveWithCells="1" sizeWithCells="1">
                  <from>
                    <xdr:col>3</xdr:col>
                    <xdr:colOff>2413000</xdr:colOff>
                    <xdr:row>1</xdr:row>
                    <xdr:rowOff>50800</xdr:rowOff>
                  </from>
                  <to>
                    <xdr:col>4</xdr:col>
                    <xdr:colOff>450850</xdr:colOff>
                    <xdr:row>1</xdr:row>
                    <xdr:rowOff>527050</xdr:rowOff>
                  </to>
                </anchor>
              </controlPr>
            </control>
          </mc:Choice>
        </mc:AlternateContent>
        <mc:AlternateContent xmlns:mc="http://schemas.openxmlformats.org/markup-compatibility/2006">
          <mc:Choice Requires="x14">
            <control shapeId="46119" r:id="rId9" name="Button 39">
              <controlPr defaultSize="0" print="0" autoFill="0" autoPict="0" macro="[0]!ECB">
                <anchor moveWithCells="1" sizeWithCells="1">
                  <from>
                    <xdr:col>4</xdr:col>
                    <xdr:colOff>508000</xdr:colOff>
                    <xdr:row>1</xdr:row>
                    <xdr:rowOff>50800</xdr:rowOff>
                  </from>
                  <to>
                    <xdr:col>4</xdr:col>
                    <xdr:colOff>2946400</xdr:colOff>
                    <xdr:row>1</xdr:row>
                    <xdr:rowOff>527050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K56"/>
  <sheetViews>
    <sheetView showGridLines="0" topLeftCell="E1" zoomScale="70" zoomScaleNormal="70" zoomScaleSheetLayoutView="70" workbookViewId="0">
      <pane ySplit="9" topLeftCell="A26" activePane="bottomLeft" state="frozen"/>
      <selection pane="bottomLeft" activeCell="I31" sqref="I31"/>
    </sheetView>
  </sheetViews>
  <sheetFormatPr baseColWidth="10" defaultColWidth="9.1796875" defaultRowHeight="18" x14ac:dyDescent="0.4"/>
  <cols>
    <col min="1" max="1" width="1.7265625" style="5" customWidth="1"/>
    <col min="2" max="2" width="53.453125" style="5" customWidth="1"/>
    <col min="3" max="4" width="50.7265625" style="5" customWidth="1"/>
    <col min="5" max="5" width="25.7265625" style="178" customWidth="1"/>
    <col min="6" max="6" width="40.7265625" style="5" customWidth="1"/>
    <col min="7" max="7" width="39.7265625" style="5" customWidth="1"/>
    <col min="8" max="8" width="60.7265625" style="5" customWidth="1"/>
    <col min="9" max="9" width="20.7265625" style="5" customWidth="1"/>
    <col min="10" max="10" width="11.26953125" style="5" bestFit="1" customWidth="1"/>
    <col min="11" max="12" width="1.7265625" style="5" customWidth="1"/>
    <col min="13" max="16384" width="9.1796875" style="5"/>
  </cols>
  <sheetData>
    <row r="1" spans="2:11" ht="8.15" customHeight="1" x14ac:dyDescent="0.4"/>
    <row r="2" spans="2:11" s="8" customFormat="1" ht="45" customHeight="1" x14ac:dyDescent="0.4">
      <c r="B2" s="313" t="s">
        <v>212</v>
      </c>
      <c r="C2" s="313"/>
      <c r="D2" s="313"/>
      <c r="E2" s="313"/>
      <c r="F2" s="313"/>
      <c r="G2" s="313"/>
      <c r="H2" s="313"/>
      <c r="I2" s="313"/>
      <c r="J2" s="313"/>
    </row>
    <row r="3" spans="2:11" s="8" customFormat="1" ht="7.5" customHeight="1" x14ac:dyDescent="0.4">
      <c r="B3" s="19"/>
      <c r="E3" s="145"/>
      <c r="I3" s="62"/>
      <c r="J3" s="17"/>
    </row>
    <row r="4" spans="2:11" s="8" customFormat="1" ht="20.149999999999999" customHeight="1" x14ac:dyDescent="0.4">
      <c r="B4" s="292" t="s">
        <v>380</v>
      </c>
      <c r="C4" s="315">
        <f>SUMIF(J:J,"&lt;&gt;Error",K:K)</f>
        <v>294830</v>
      </c>
      <c r="D4" s="326"/>
      <c r="E4" s="177"/>
      <c r="I4" s="62"/>
      <c r="J4" s="17"/>
    </row>
    <row r="5" spans="2:11" s="8" customFormat="1" ht="20.149999999999999" customHeight="1" x14ac:dyDescent="0.4">
      <c r="B5" s="292"/>
      <c r="C5" s="315"/>
      <c r="D5" s="326"/>
      <c r="E5" s="177"/>
      <c r="I5" s="62"/>
      <c r="J5" s="17"/>
    </row>
    <row r="6" spans="2:11" s="8" customFormat="1" ht="8.15" customHeight="1" x14ac:dyDescent="0.4">
      <c r="B6" s="292"/>
      <c r="C6" s="315"/>
      <c r="D6" s="326"/>
      <c r="E6" s="177"/>
      <c r="I6" s="62"/>
      <c r="J6" s="17"/>
    </row>
    <row r="7" spans="2:11" s="8" customFormat="1" ht="8.15" customHeight="1" x14ac:dyDescent="0.4">
      <c r="B7" s="9"/>
      <c r="C7" s="10"/>
      <c r="D7" s="10"/>
      <c r="E7" s="179"/>
      <c r="F7" s="10"/>
      <c r="G7" s="10"/>
      <c r="H7" s="10"/>
      <c r="I7" s="63"/>
      <c r="J7" s="18"/>
    </row>
    <row r="8" spans="2:11" s="30" customFormat="1" ht="54" x14ac:dyDescent="0.4">
      <c r="B8" s="205" t="s">
        <v>183</v>
      </c>
      <c r="C8" s="205" t="s">
        <v>489</v>
      </c>
      <c r="D8" s="205" t="s">
        <v>486</v>
      </c>
      <c r="E8" s="205" t="s">
        <v>487</v>
      </c>
      <c r="F8" s="205" t="s">
        <v>226</v>
      </c>
      <c r="G8" s="126" t="s">
        <v>167</v>
      </c>
      <c r="H8" s="126" t="s">
        <v>227</v>
      </c>
      <c r="I8" s="205" t="s">
        <v>510</v>
      </c>
      <c r="J8" s="205" t="s">
        <v>184</v>
      </c>
    </row>
    <row r="9" spans="2:11" s="26" customFormat="1" hidden="1" x14ac:dyDescent="0.35">
      <c r="B9" s="22"/>
      <c r="C9" s="109" t="str">
        <f t="shared" ref="C9:C52" si="0">IFERROR(IF(VLOOKUP(B9,PartnerN°Ref,2,FALSE)=0,"",VLOOKUP(B9,PartnerN°Ref,2,FALSE)),"")</f>
        <v/>
      </c>
      <c r="D9" s="109" t="str">
        <f t="shared" ref="D9:D34" si="1">IFERROR(IF(VLOOKUP(B9,PartnerN°Ref,3,FALSE)=0,"",VLOOKUP(B9,PartnerN°Ref,3,FALSE)),"")</f>
        <v/>
      </c>
      <c r="E9" s="174" t="str">
        <f t="shared" ref="E9:E34" si="2">IFERROR(IF(VLOOKUP(B9,PartnerN°Ref,4,FALSE)=0,"",VLOOKUP(B9,PartnerN°Ref,4,FALSE)),"")</f>
        <v/>
      </c>
      <c r="F9" s="108"/>
      <c r="G9" s="108"/>
      <c r="H9" s="108"/>
      <c r="I9" s="61">
        <v>0</v>
      </c>
      <c r="J9" s="23" t="str">
        <f t="shared" ref="J9:J34" si="3">IF(OR(COUNTBLANK(B9:I9)&gt;0,COUNTIF(PartnerN°,B9)=0,COUNTIF(CountryALL,D9)=0,COUNTIF(Role_Code,E9)=0,COUNTIF(BudgetHeadings,F9)=0,ISNUMBER(I9)=FALSE,IF(ISNUMBER(I9)=TRUE,I9=INT(I9*100)/100=FALSE)),"Error","")</f>
        <v>Error</v>
      </c>
      <c r="K9" s="169">
        <f t="shared" ref="K9:K34" si="4">ROUND(I9,2)</f>
        <v>0</v>
      </c>
    </row>
    <row r="10" spans="2:11" s="26" customFormat="1" ht="36" x14ac:dyDescent="0.35">
      <c r="B10" s="22" t="s">
        <v>6</v>
      </c>
      <c r="C10" s="109" t="str">
        <f t="shared" si="0"/>
        <v>Université de Paris</v>
      </c>
      <c r="D10" s="109" t="str">
        <f t="shared" si="1"/>
        <v>France</v>
      </c>
      <c r="E10" s="174" t="str">
        <f t="shared" si="2"/>
        <v>Coord</v>
      </c>
      <c r="F10" s="108" t="s">
        <v>152</v>
      </c>
      <c r="G10" s="108" t="s">
        <v>676</v>
      </c>
      <c r="H10" s="108" t="s">
        <v>677</v>
      </c>
      <c r="I10" s="61">
        <v>40000</v>
      </c>
      <c r="J10" s="23" t="str">
        <f t="shared" si="3"/>
        <v/>
      </c>
      <c r="K10" s="169">
        <f t="shared" si="4"/>
        <v>40000</v>
      </c>
    </row>
    <row r="11" spans="2:11" s="26" customFormat="1" ht="36" x14ac:dyDescent="0.35">
      <c r="B11" s="22" t="s">
        <v>7</v>
      </c>
      <c r="C11" s="109" t="str">
        <f t="shared" si="0"/>
        <v>Universidad Industrial de Santander</v>
      </c>
      <c r="D11" s="109" t="str">
        <f t="shared" si="1"/>
        <v>Colombia</v>
      </c>
      <c r="E11" s="174" t="str">
        <f t="shared" si="2"/>
        <v>Partner</v>
      </c>
      <c r="F11" s="108" t="s">
        <v>152</v>
      </c>
      <c r="G11" s="108" t="s">
        <v>676</v>
      </c>
      <c r="H11" s="108" t="s">
        <v>678</v>
      </c>
      <c r="I11" s="61">
        <v>4300</v>
      </c>
      <c r="J11" s="23" t="str">
        <f t="shared" si="3"/>
        <v/>
      </c>
      <c r="K11" s="169">
        <f t="shared" si="4"/>
        <v>4300</v>
      </c>
    </row>
    <row r="12" spans="2:11" s="26" customFormat="1" ht="36" x14ac:dyDescent="0.35">
      <c r="B12" s="22" t="s">
        <v>8</v>
      </c>
      <c r="C12" s="109" t="str">
        <f t="shared" si="0"/>
        <v>Universidad Antonio Narino</v>
      </c>
      <c r="D12" s="109" t="str">
        <f t="shared" si="1"/>
        <v>Colombia</v>
      </c>
      <c r="E12" s="174" t="str">
        <f t="shared" si="2"/>
        <v>Partner</v>
      </c>
      <c r="F12" s="108" t="s">
        <v>152</v>
      </c>
      <c r="G12" s="108" t="s">
        <v>676</v>
      </c>
      <c r="H12" s="108" t="s">
        <v>678</v>
      </c>
      <c r="I12" s="61">
        <v>4300</v>
      </c>
      <c r="J12" s="23" t="str">
        <f t="shared" si="3"/>
        <v/>
      </c>
      <c r="K12" s="169">
        <f t="shared" si="4"/>
        <v>4300</v>
      </c>
    </row>
    <row r="13" spans="2:11" s="26" customFormat="1" ht="36" x14ac:dyDescent="0.35">
      <c r="B13" s="22" t="s">
        <v>9</v>
      </c>
      <c r="C13" s="109" t="str">
        <f t="shared" si="0"/>
        <v>Universidad San Francisco de Quito</v>
      </c>
      <c r="D13" s="109" t="str">
        <f t="shared" si="1"/>
        <v>Ecuador</v>
      </c>
      <c r="E13" s="174" t="str">
        <f t="shared" si="2"/>
        <v>Partner</v>
      </c>
      <c r="F13" s="108" t="s">
        <v>152</v>
      </c>
      <c r="G13" s="108" t="s">
        <v>676</v>
      </c>
      <c r="H13" s="108" t="s">
        <v>678</v>
      </c>
      <c r="I13" s="61">
        <v>4880</v>
      </c>
      <c r="J13" s="23" t="str">
        <f t="shared" si="3"/>
        <v/>
      </c>
      <c r="K13" s="169">
        <f t="shared" si="4"/>
        <v>4880</v>
      </c>
    </row>
    <row r="14" spans="2:11" s="26" customFormat="1" ht="36" x14ac:dyDescent="0.35">
      <c r="B14" s="22" t="s">
        <v>10</v>
      </c>
      <c r="C14" s="109" t="str">
        <f t="shared" si="0"/>
        <v>Universidadde Investigacionde Tecnologia Experimental YACHAY</v>
      </c>
      <c r="D14" s="109" t="str">
        <f t="shared" si="1"/>
        <v>Ecuador</v>
      </c>
      <c r="E14" s="174" t="str">
        <f t="shared" si="2"/>
        <v>Partner</v>
      </c>
      <c r="F14" s="108" t="s">
        <v>152</v>
      </c>
      <c r="G14" s="108" t="s">
        <v>676</v>
      </c>
      <c r="H14" s="108" t="s">
        <v>678</v>
      </c>
      <c r="I14" s="61">
        <v>4880</v>
      </c>
      <c r="J14" s="23" t="str">
        <f t="shared" si="3"/>
        <v/>
      </c>
      <c r="K14" s="169">
        <f t="shared" si="4"/>
        <v>4880</v>
      </c>
    </row>
    <row r="15" spans="2:11" s="26" customFormat="1" ht="36" x14ac:dyDescent="0.35">
      <c r="B15" s="22" t="s">
        <v>11</v>
      </c>
      <c r="C15" s="109" t="str">
        <f t="shared" si="0"/>
        <v>Universidad Nacional Mayor de San Marcos</v>
      </c>
      <c r="D15" s="109" t="str">
        <f t="shared" si="1"/>
        <v>Peru</v>
      </c>
      <c r="E15" s="174" t="str">
        <f t="shared" si="2"/>
        <v>Partner</v>
      </c>
      <c r="F15" s="108" t="s">
        <v>152</v>
      </c>
      <c r="G15" s="108" t="s">
        <v>676</v>
      </c>
      <c r="H15" s="108" t="s">
        <v>678</v>
      </c>
      <c r="I15" s="61">
        <v>3770</v>
      </c>
      <c r="J15" s="23" t="str">
        <f t="shared" si="3"/>
        <v/>
      </c>
      <c r="K15" s="169">
        <f t="shared" si="4"/>
        <v>3770</v>
      </c>
    </row>
    <row r="16" spans="2:11" s="26" customFormat="1" ht="36" x14ac:dyDescent="0.35">
      <c r="B16" s="22" t="s">
        <v>12</v>
      </c>
      <c r="C16" s="109" t="str">
        <f t="shared" si="0"/>
        <v>Universidad Nacional de Ingenieria</v>
      </c>
      <c r="D16" s="109" t="str">
        <f t="shared" si="1"/>
        <v>Peru</v>
      </c>
      <c r="E16" s="174" t="str">
        <f t="shared" si="2"/>
        <v>Partner</v>
      </c>
      <c r="F16" s="108" t="s">
        <v>152</v>
      </c>
      <c r="G16" s="108" t="s">
        <v>676</v>
      </c>
      <c r="H16" s="108" t="s">
        <v>678</v>
      </c>
      <c r="I16" s="61">
        <v>3770</v>
      </c>
      <c r="J16" s="23" t="str">
        <f t="shared" si="3"/>
        <v/>
      </c>
      <c r="K16" s="169">
        <f t="shared" si="4"/>
        <v>3770</v>
      </c>
    </row>
    <row r="17" spans="2:11" s="26" customFormat="1" ht="36" x14ac:dyDescent="0.35">
      <c r="B17" s="22" t="s">
        <v>13</v>
      </c>
      <c r="C17" s="109" t="str">
        <f t="shared" si="0"/>
        <v>Universidad Central de Venezuela</v>
      </c>
      <c r="D17" s="109" t="str">
        <f t="shared" si="1"/>
        <v>Venezuela</v>
      </c>
      <c r="E17" s="174" t="str">
        <f t="shared" si="2"/>
        <v>Partner</v>
      </c>
      <c r="F17" s="108" t="s">
        <v>152</v>
      </c>
      <c r="G17" s="108" t="s">
        <v>676</v>
      </c>
      <c r="H17" s="108" t="s">
        <v>678</v>
      </c>
      <c r="I17" s="61">
        <v>89</v>
      </c>
      <c r="J17" s="23" t="str">
        <f t="shared" si="3"/>
        <v/>
      </c>
      <c r="K17" s="169">
        <f t="shared" si="4"/>
        <v>89</v>
      </c>
    </row>
    <row r="18" spans="2:11" s="26" customFormat="1" ht="36" x14ac:dyDescent="0.35">
      <c r="B18" s="22" t="s">
        <v>14</v>
      </c>
      <c r="C18" s="109" t="str">
        <f t="shared" si="0"/>
        <v>Universidad Simon Bolivar</v>
      </c>
      <c r="D18" s="109" t="str">
        <f t="shared" si="1"/>
        <v>Venezuela</v>
      </c>
      <c r="E18" s="174" t="str">
        <f t="shared" si="2"/>
        <v>Partner</v>
      </c>
      <c r="F18" s="108" t="s">
        <v>152</v>
      </c>
      <c r="G18" s="108" t="s">
        <v>676</v>
      </c>
      <c r="H18" s="108" t="s">
        <v>678</v>
      </c>
      <c r="I18" s="61">
        <v>89</v>
      </c>
      <c r="J18" s="23" t="str">
        <f t="shared" si="3"/>
        <v/>
      </c>
      <c r="K18" s="169">
        <f t="shared" si="4"/>
        <v>89</v>
      </c>
    </row>
    <row r="19" spans="2:11" s="26" customFormat="1" ht="36" x14ac:dyDescent="0.35">
      <c r="B19" s="22" t="s">
        <v>15</v>
      </c>
      <c r="C19" s="109" t="str">
        <f t="shared" si="0"/>
        <v>Université Paul Sabatier Toulouse III</v>
      </c>
      <c r="D19" s="109" t="str">
        <f t="shared" si="1"/>
        <v>France</v>
      </c>
      <c r="E19" s="174" t="str">
        <f t="shared" si="2"/>
        <v>Partner</v>
      </c>
      <c r="F19" s="108" t="s">
        <v>152</v>
      </c>
      <c r="G19" s="108" t="s">
        <v>676</v>
      </c>
      <c r="H19" s="108" t="s">
        <v>678</v>
      </c>
      <c r="I19" s="61">
        <v>8000</v>
      </c>
      <c r="J19" s="23" t="str">
        <f t="shared" si="3"/>
        <v/>
      </c>
      <c r="K19" s="169">
        <f t="shared" si="4"/>
        <v>8000</v>
      </c>
    </row>
    <row r="20" spans="2:11" s="26" customFormat="1" ht="36" x14ac:dyDescent="0.35">
      <c r="B20" s="22" t="s">
        <v>16</v>
      </c>
      <c r="C20" s="109" t="str">
        <f t="shared" si="0"/>
        <v>Technische Universität Dresden</v>
      </c>
      <c r="D20" s="109" t="str">
        <f t="shared" si="1"/>
        <v>Germany</v>
      </c>
      <c r="E20" s="174" t="str">
        <f t="shared" si="2"/>
        <v>Partner</v>
      </c>
      <c r="F20" s="108" t="s">
        <v>152</v>
      </c>
      <c r="G20" s="108" t="s">
        <v>676</v>
      </c>
      <c r="H20" s="108" t="s">
        <v>678</v>
      </c>
      <c r="I20" s="61">
        <v>9000</v>
      </c>
      <c r="J20" s="23" t="str">
        <f t="shared" si="3"/>
        <v/>
      </c>
      <c r="K20" s="169">
        <f t="shared" si="4"/>
        <v>9000</v>
      </c>
    </row>
    <row r="21" spans="2:11" s="26" customFormat="1" ht="36" x14ac:dyDescent="0.35">
      <c r="B21" s="22" t="s">
        <v>7</v>
      </c>
      <c r="C21" s="109" t="str">
        <f t="shared" si="0"/>
        <v>Universidad Industrial de Santander</v>
      </c>
      <c r="D21" s="109" t="str">
        <f t="shared" si="1"/>
        <v>Colombia</v>
      </c>
      <c r="E21" s="174" t="str">
        <f t="shared" si="2"/>
        <v>Partner</v>
      </c>
      <c r="F21" s="108" t="s">
        <v>152</v>
      </c>
      <c r="G21" s="108" t="s">
        <v>676</v>
      </c>
      <c r="H21" s="108" t="s">
        <v>679</v>
      </c>
      <c r="I21" s="61">
        <v>6200</v>
      </c>
      <c r="J21" s="23" t="str">
        <f t="shared" si="3"/>
        <v/>
      </c>
      <c r="K21" s="169">
        <f t="shared" si="4"/>
        <v>6200</v>
      </c>
    </row>
    <row r="22" spans="2:11" s="26" customFormat="1" ht="36" x14ac:dyDescent="0.35">
      <c r="B22" s="22" t="s">
        <v>8</v>
      </c>
      <c r="C22" s="109" t="str">
        <f t="shared" si="0"/>
        <v>Universidad Antonio Narino</v>
      </c>
      <c r="D22" s="109" t="str">
        <f t="shared" si="1"/>
        <v>Colombia</v>
      </c>
      <c r="E22" s="174" t="str">
        <f t="shared" si="2"/>
        <v>Partner</v>
      </c>
      <c r="F22" s="108" t="s">
        <v>152</v>
      </c>
      <c r="G22" s="108" t="s">
        <v>676</v>
      </c>
      <c r="H22" s="108" t="s">
        <v>679</v>
      </c>
      <c r="I22" s="61">
        <v>6200</v>
      </c>
      <c r="J22" s="23" t="str">
        <f t="shared" si="3"/>
        <v/>
      </c>
      <c r="K22" s="169">
        <f t="shared" si="4"/>
        <v>6200</v>
      </c>
    </row>
    <row r="23" spans="2:11" s="26" customFormat="1" ht="36" x14ac:dyDescent="0.35">
      <c r="B23" s="22" t="s">
        <v>9</v>
      </c>
      <c r="C23" s="109" t="str">
        <f t="shared" si="0"/>
        <v>Universidad San Francisco de Quito</v>
      </c>
      <c r="D23" s="109" t="str">
        <f t="shared" si="1"/>
        <v>Ecuador</v>
      </c>
      <c r="E23" s="174" t="str">
        <f t="shared" si="2"/>
        <v>Partner</v>
      </c>
      <c r="F23" s="108" t="s">
        <v>152</v>
      </c>
      <c r="G23" s="108" t="s">
        <v>676</v>
      </c>
      <c r="H23" s="108" t="s">
        <v>679</v>
      </c>
      <c r="I23" s="61">
        <v>7040</v>
      </c>
      <c r="J23" s="23" t="str">
        <f t="shared" si="3"/>
        <v/>
      </c>
      <c r="K23" s="169">
        <f t="shared" si="4"/>
        <v>7040</v>
      </c>
    </row>
    <row r="24" spans="2:11" s="26" customFormat="1" ht="36" x14ac:dyDescent="0.35">
      <c r="B24" s="22" t="s">
        <v>10</v>
      </c>
      <c r="C24" s="109" t="str">
        <f t="shared" si="0"/>
        <v>Universidadde Investigacionde Tecnologia Experimental YACHAY</v>
      </c>
      <c r="D24" s="109" t="str">
        <f t="shared" si="1"/>
        <v>Ecuador</v>
      </c>
      <c r="E24" s="174" t="str">
        <f t="shared" si="2"/>
        <v>Partner</v>
      </c>
      <c r="F24" s="108" t="s">
        <v>152</v>
      </c>
      <c r="G24" s="108" t="s">
        <v>676</v>
      </c>
      <c r="H24" s="108" t="s">
        <v>679</v>
      </c>
      <c r="I24" s="61">
        <v>7040</v>
      </c>
      <c r="J24" s="23" t="str">
        <f t="shared" si="3"/>
        <v/>
      </c>
      <c r="K24" s="169">
        <f t="shared" si="4"/>
        <v>7040</v>
      </c>
    </row>
    <row r="25" spans="2:11" s="26" customFormat="1" ht="36" x14ac:dyDescent="0.35">
      <c r="B25" s="22" t="s">
        <v>11</v>
      </c>
      <c r="C25" s="109" t="str">
        <f t="shared" si="0"/>
        <v>Universidad Nacional Mayor de San Marcos</v>
      </c>
      <c r="D25" s="109" t="str">
        <f t="shared" si="1"/>
        <v>Peru</v>
      </c>
      <c r="E25" s="174" t="str">
        <f t="shared" si="2"/>
        <v>Partner</v>
      </c>
      <c r="F25" s="108" t="s">
        <v>152</v>
      </c>
      <c r="G25" s="108" t="s">
        <v>676</v>
      </c>
      <c r="H25" s="108" t="s">
        <v>679</v>
      </c>
      <c r="I25" s="61">
        <v>5440</v>
      </c>
      <c r="J25" s="23" t="str">
        <f t="shared" si="3"/>
        <v/>
      </c>
      <c r="K25" s="169">
        <f t="shared" si="4"/>
        <v>5440</v>
      </c>
    </row>
    <row r="26" spans="2:11" s="26" customFormat="1" ht="36" x14ac:dyDescent="0.35">
      <c r="B26" s="22" t="s">
        <v>12</v>
      </c>
      <c r="C26" s="109" t="str">
        <f t="shared" si="0"/>
        <v>Universidad Nacional de Ingenieria</v>
      </c>
      <c r="D26" s="109" t="str">
        <f t="shared" si="1"/>
        <v>Peru</v>
      </c>
      <c r="E26" s="174" t="str">
        <f t="shared" si="2"/>
        <v>Partner</v>
      </c>
      <c r="F26" s="108" t="s">
        <v>152</v>
      </c>
      <c r="G26" s="108" t="s">
        <v>676</v>
      </c>
      <c r="H26" s="108" t="s">
        <v>679</v>
      </c>
      <c r="I26" s="61">
        <v>5440</v>
      </c>
      <c r="J26" s="23" t="str">
        <f t="shared" si="3"/>
        <v/>
      </c>
      <c r="K26" s="169">
        <f t="shared" si="4"/>
        <v>5440</v>
      </c>
    </row>
    <row r="27" spans="2:11" s="26" customFormat="1" ht="36" x14ac:dyDescent="0.35">
      <c r="B27" s="22" t="s">
        <v>13</v>
      </c>
      <c r="C27" s="109" t="str">
        <f t="shared" si="0"/>
        <v>Universidad Central de Venezuela</v>
      </c>
      <c r="D27" s="109" t="str">
        <f t="shared" si="1"/>
        <v>Venezuela</v>
      </c>
      <c r="E27" s="174" t="str">
        <f t="shared" si="2"/>
        <v>Partner</v>
      </c>
      <c r="F27" s="108" t="s">
        <v>152</v>
      </c>
      <c r="G27" s="108" t="s">
        <v>676</v>
      </c>
      <c r="H27" s="108" t="s">
        <v>679</v>
      </c>
      <c r="I27" s="61">
        <v>129</v>
      </c>
      <c r="J27" s="23" t="str">
        <f t="shared" si="3"/>
        <v/>
      </c>
      <c r="K27" s="169">
        <f t="shared" si="4"/>
        <v>129</v>
      </c>
    </row>
    <row r="28" spans="2:11" s="26" customFormat="1" ht="36" x14ac:dyDescent="0.35">
      <c r="B28" s="22" t="s">
        <v>14</v>
      </c>
      <c r="C28" s="109" t="str">
        <f t="shared" si="0"/>
        <v>Universidad Simon Bolivar</v>
      </c>
      <c r="D28" s="109" t="str">
        <f t="shared" si="1"/>
        <v>Venezuela</v>
      </c>
      <c r="E28" s="174" t="str">
        <f t="shared" si="2"/>
        <v>Partner</v>
      </c>
      <c r="F28" s="108" t="s">
        <v>152</v>
      </c>
      <c r="G28" s="108" t="s">
        <v>676</v>
      </c>
      <c r="H28" s="108" t="s">
        <v>679</v>
      </c>
      <c r="I28" s="61">
        <v>129</v>
      </c>
      <c r="J28" s="23" t="str">
        <f t="shared" si="3"/>
        <v/>
      </c>
      <c r="K28" s="169">
        <f t="shared" si="4"/>
        <v>129</v>
      </c>
    </row>
    <row r="29" spans="2:11" s="26" customFormat="1" ht="36" x14ac:dyDescent="0.35">
      <c r="B29" s="22" t="s">
        <v>7</v>
      </c>
      <c r="C29" s="109" t="str">
        <f t="shared" si="0"/>
        <v>Universidad Industrial de Santander</v>
      </c>
      <c r="D29" s="109" t="str">
        <f t="shared" si="1"/>
        <v>Colombia</v>
      </c>
      <c r="E29" s="174" t="str">
        <f t="shared" si="2"/>
        <v>Partner</v>
      </c>
      <c r="F29" s="108" t="s">
        <v>163</v>
      </c>
      <c r="G29" s="108" t="s">
        <v>676</v>
      </c>
      <c r="H29" s="108" t="s">
        <v>680</v>
      </c>
      <c r="I29" s="61">
        <v>1500</v>
      </c>
      <c r="J29" s="23" t="str">
        <f t="shared" si="3"/>
        <v/>
      </c>
      <c r="K29" s="169">
        <f t="shared" si="4"/>
        <v>1500</v>
      </c>
    </row>
    <row r="30" spans="2:11" s="26" customFormat="1" ht="36" x14ac:dyDescent="0.35">
      <c r="B30" s="22" t="s">
        <v>7</v>
      </c>
      <c r="C30" s="109" t="str">
        <f t="shared" si="0"/>
        <v>Universidad Industrial de Santander</v>
      </c>
      <c r="D30" s="109" t="str">
        <f t="shared" si="1"/>
        <v>Colombia</v>
      </c>
      <c r="E30" s="174" t="str">
        <f t="shared" si="2"/>
        <v>Partner</v>
      </c>
      <c r="F30" s="108" t="s">
        <v>163</v>
      </c>
      <c r="G30" s="108" t="s">
        <v>676</v>
      </c>
      <c r="H30" s="108" t="s">
        <v>680</v>
      </c>
      <c r="I30" s="61">
        <v>300</v>
      </c>
      <c r="J30" s="23" t="str">
        <f t="shared" si="3"/>
        <v/>
      </c>
      <c r="K30" s="169">
        <f t="shared" si="4"/>
        <v>300</v>
      </c>
    </row>
    <row r="31" spans="2:11" s="26" customFormat="1" ht="36" x14ac:dyDescent="0.35">
      <c r="B31" s="22" t="s">
        <v>7</v>
      </c>
      <c r="C31" s="109" t="str">
        <f t="shared" si="0"/>
        <v>Universidad Industrial de Santander</v>
      </c>
      <c r="D31" s="109" t="str">
        <f t="shared" si="1"/>
        <v>Colombia</v>
      </c>
      <c r="E31" s="174" t="str">
        <f t="shared" si="2"/>
        <v>Partner</v>
      </c>
      <c r="F31" s="108" t="s">
        <v>163</v>
      </c>
      <c r="G31" s="108" t="s">
        <v>676</v>
      </c>
      <c r="H31" s="108" t="s">
        <v>680</v>
      </c>
      <c r="I31" s="61">
        <v>18800</v>
      </c>
      <c r="J31" s="23" t="str">
        <f t="shared" si="3"/>
        <v/>
      </c>
      <c r="K31" s="169">
        <f t="shared" si="4"/>
        <v>18800</v>
      </c>
    </row>
    <row r="32" spans="2:11" s="26" customFormat="1" ht="36" x14ac:dyDescent="0.35">
      <c r="B32" s="22" t="s">
        <v>8</v>
      </c>
      <c r="C32" s="109" t="str">
        <f t="shared" si="0"/>
        <v>Universidad Antonio Narino</v>
      </c>
      <c r="D32" s="109" t="str">
        <f t="shared" si="1"/>
        <v>Colombia</v>
      </c>
      <c r="E32" s="174" t="str">
        <f t="shared" si="2"/>
        <v>Partner</v>
      </c>
      <c r="F32" s="108" t="s">
        <v>163</v>
      </c>
      <c r="G32" s="108" t="s">
        <v>676</v>
      </c>
      <c r="H32" s="108" t="s">
        <v>680</v>
      </c>
      <c r="I32" s="61">
        <v>1500</v>
      </c>
      <c r="J32" s="23" t="str">
        <f t="shared" si="3"/>
        <v/>
      </c>
      <c r="K32" s="169">
        <f t="shared" si="4"/>
        <v>1500</v>
      </c>
    </row>
    <row r="33" spans="2:11" s="26" customFormat="1" ht="36" x14ac:dyDescent="0.35">
      <c r="B33" s="22" t="s">
        <v>8</v>
      </c>
      <c r="C33" s="109" t="str">
        <f t="shared" si="0"/>
        <v>Universidad Antonio Narino</v>
      </c>
      <c r="D33" s="109" t="str">
        <f t="shared" si="1"/>
        <v>Colombia</v>
      </c>
      <c r="E33" s="174" t="str">
        <f t="shared" si="2"/>
        <v>Partner</v>
      </c>
      <c r="F33" s="108" t="s">
        <v>163</v>
      </c>
      <c r="G33" s="108" t="s">
        <v>676</v>
      </c>
      <c r="H33" s="108" t="s">
        <v>680</v>
      </c>
      <c r="I33" s="61">
        <v>300</v>
      </c>
      <c r="J33" s="23" t="str">
        <f t="shared" si="3"/>
        <v/>
      </c>
      <c r="K33" s="169">
        <f t="shared" si="4"/>
        <v>300</v>
      </c>
    </row>
    <row r="34" spans="2:11" s="26" customFormat="1" ht="36" x14ac:dyDescent="0.35">
      <c r="B34" s="22" t="s">
        <v>8</v>
      </c>
      <c r="C34" s="109" t="str">
        <f t="shared" si="0"/>
        <v>Universidad Antonio Narino</v>
      </c>
      <c r="D34" s="109" t="str">
        <f t="shared" si="1"/>
        <v>Colombia</v>
      </c>
      <c r="E34" s="174" t="str">
        <f t="shared" si="2"/>
        <v>Partner</v>
      </c>
      <c r="F34" s="108" t="s">
        <v>163</v>
      </c>
      <c r="G34" s="108" t="s">
        <v>676</v>
      </c>
      <c r="H34" s="108" t="s">
        <v>680</v>
      </c>
      <c r="I34" s="61">
        <v>18800</v>
      </c>
      <c r="J34" s="23" t="str">
        <f t="shared" si="3"/>
        <v/>
      </c>
      <c r="K34" s="169">
        <f t="shared" si="4"/>
        <v>18800</v>
      </c>
    </row>
    <row r="35" spans="2:11" s="26" customFormat="1" ht="36" x14ac:dyDescent="0.35">
      <c r="B35" s="22" t="s">
        <v>9</v>
      </c>
      <c r="C35" s="109" t="str">
        <f t="shared" si="0"/>
        <v>Universidad San Francisco de Quito</v>
      </c>
      <c r="D35" s="109" t="str">
        <f t="shared" ref="D35:D52" si="5">IFERROR(IF(VLOOKUP(B35,PartnerN°Ref,3,FALSE)=0,"",VLOOKUP(B35,PartnerN°Ref,3,FALSE)),"")</f>
        <v>Ecuador</v>
      </c>
      <c r="E35" s="174" t="str">
        <f t="shared" ref="E35:E52" si="6">IFERROR(IF(VLOOKUP(B35,PartnerN°Ref,4,FALSE)=0,"",VLOOKUP(B35,PartnerN°Ref,4,FALSE)),"")</f>
        <v>Partner</v>
      </c>
      <c r="F35" s="108" t="s">
        <v>163</v>
      </c>
      <c r="G35" s="108" t="s">
        <v>676</v>
      </c>
      <c r="H35" s="108" t="s">
        <v>680</v>
      </c>
      <c r="I35" s="61">
        <v>1500</v>
      </c>
      <c r="J35" s="23" t="str">
        <f t="shared" ref="J35:J52" si="7">IF(OR(COUNTBLANK(B35:I35)&gt;0,COUNTIF(PartnerN°,B35)=0,COUNTIF(CountryALL,D35)=0,COUNTIF(Role_Code,E35)=0,COUNTIF(BudgetHeadings,F35)=0,ISNUMBER(I35)=FALSE,IF(ISNUMBER(I35)=TRUE,I35=INT(I35*100)/100=FALSE)),"Error","")</f>
        <v/>
      </c>
      <c r="K35" s="169">
        <f t="shared" ref="K35:K52" si="8">ROUND(I35,2)</f>
        <v>1500</v>
      </c>
    </row>
    <row r="36" spans="2:11" s="26" customFormat="1" ht="36" x14ac:dyDescent="0.35">
      <c r="B36" s="22" t="s">
        <v>9</v>
      </c>
      <c r="C36" s="109" t="str">
        <f t="shared" si="0"/>
        <v>Universidad San Francisco de Quito</v>
      </c>
      <c r="D36" s="109" t="str">
        <f t="shared" si="5"/>
        <v>Ecuador</v>
      </c>
      <c r="E36" s="174" t="str">
        <f t="shared" si="6"/>
        <v>Partner</v>
      </c>
      <c r="F36" s="108" t="s">
        <v>163</v>
      </c>
      <c r="G36" s="108" t="s">
        <v>676</v>
      </c>
      <c r="H36" s="108" t="s">
        <v>680</v>
      </c>
      <c r="I36" s="61">
        <v>300</v>
      </c>
      <c r="J36" s="23" t="str">
        <f t="shared" si="7"/>
        <v/>
      </c>
      <c r="K36" s="169">
        <f t="shared" si="8"/>
        <v>300</v>
      </c>
    </row>
    <row r="37" spans="2:11" s="26" customFormat="1" ht="36" x14ac:dyDescent="0.35">
      <c r="B37" s="22" t="s">
        <v>9</v>
      </c>
      <c r="C37" s="109" t="str">
        <f t="shared" si="0"/>
        <v>Universidad San Francisco de Quito</v>
      </c>
      <c r="D37" s="109" t="str">
        <f t="shared" si="5"/>
        <v>Ecuador</v>
      </c>
      <c r="E37" s="174" t="str">
        <f t="shared" si="6"/>
        <v>Partner</v>
      </c>
      <c r="F37" s="108" t="s">
        <v>163</v>
      </c>
      <c r="G37" s="108" t="s">
        <v>676</v>
      </c>
      <c r="H37" s="108" t="s">
        <v>680</v>
      </c>
      <c r="I37" s="61">
        <v>12250</v>
      </c>
      <c r="J37" s="23" t="str">
        <f t="shared" si="7"/>
        <v/>
      </c>
      <c r="K37" s="169">
        <f t="shared" si="8"/>
        <v>12250</v>
      </c>
    </row>
    <row r="38" spans="2:11" s="26" customFormat="1" ht="36" x14ac:dyDescent="0.35">
      <c r="B38" s="22" t="s">
        <v>10</v>
      </c>
      <c r="C38" s="109" t="str">
        <f t="shared" si="0"/>
        <v>Universidadde Investigacionde Tecnologia Experimental YACHAY</v>
      </c>
      <c r="D38" s="109" t="str">
        <f t="shared" si="5"/>
        <v>Ecuador</v>
      </c>
      <c r="E38" s="174" t="str">
        <f t="shared" si="6"/>
        <v>Partner</v>
      </c>
      <c r="F38" s="108" t="s">
        <v>163</v>
      </c>
      <c r="G38" s="108" t="s">
        <v>676</v>
      </c>
      <c r="H38" s="108" t="s">
        <v>680</v>
      </c>
      <c r="I38" s="61">
        <v>1500</v>
      </c>
      <c r="J38" s="23" t="str">
        <f t="shared" si="7"/>
        <v/>
      </c>
      <c r="K38" s="169">
        <f t="shared" si="8"/>
        <v>1500</v>
      </c>
    </row>
    <row r="39" spans="2:11" s="26" customFormat="1" ht="36" x14ac:dyDescent="0.35">
      <c r="B39" s="22" t="s">
        <v>10</v>
      </c>
      <c r="C39" s="109" t="str">
        <f t="shared" si="0"/>
        <v>Universidadde Investigacionde Tecnologia Experimental YACHAY</v>
      </c>
      <c r="D39" s="109" t="str">
        <f t="shared" si="5"/>
        <v>Ecuador</v>
      </c>
      <c r="E39" s="174" t="str">
        <f t="shared" si="6"/>
        <v>Partner</v>
      </c>
      <c r="F39" s="108" t="s">
        <v>163</v>
      </c>
      <c r="G39" s="108" t="s">
        <v>676</v>
      </c>
      <c r="H39" s="108" t="s">
        <v>680</v>
      </c>
      <c r="I39" s="61">
        <v>300</v>
      </c>
      <c r="J39" s="23" t="str">
        <f t="shared" si="7"/>
        <v/>
      </c>
      <c r="K39" s="169">
        <f t="shared" si="8"/>
        <v>300</v>
      </c>
    </row>
    <row r="40" spans="2:11" s="26" customFormat="1" ht="36" x14ac:dyDescent="0.35">
      <c r="B40" s="22" t="s">
        <v>10</v>
      </c>
      <c r="C40" s="109" t="str">
        <f t="shared" si="0"/>
        <v>Universidadde Investigacionde Tecnologia Experimental YACHAY</v>
      </c>
      <c r="D40" s="109" t="str">
        <f t="shared" si="5"/>
        <v>Ecuador</v>
      </c>
      <c r="E40" s="174" t="str">
        <f t="shared" si="6"/>
        <v>Partner</v>
      </c>
      <c r="F40" s="108" t="s">
        <v>163</v>
      </c>
      <c r="G40" s="108" t="s">
        <v>676</v>
      </c>
      <c r="H40" s="108" t="s">
        <v>680</v>
      </c>
      <c r="I40" s="61">
        <v>12250</v>
      </c>
      <c r="J40" s="23" t="str">
        <f t="shared" si="7"/>
        <v/>
      </c>
      <c r="K40" s="169">
        <f t="shared" si="8"/>
        <v>12250</v>
      </c>
    </row>
    <row r="41" spans="2:11" s="26" customFormat="1" ht="36" x14ac:dyDescent="0.35">
      <c r="B41" s="22" t="s">
        <v>11</v>
      </c>
      <c r="C41" s="109" t="str">
        <f t="shared" si="0"/>
        <v>Universidad Nacional Mayor de San Marcos</v>
      </c>
      <c r="D41" s="109" t="str">
        <f t="shared" si="5"/>
        <v>Peru</v>
      </c>
      <c r="E41" s="174" t="str">
        <f t="shared" si="6"/>
        <v>Partner</v>
      </c>
      <c r="F41" s="108" t="s">
        <v>163</v>
      </c>
      <c r="G41" s="108" t="s">
        <v>676</v>
      </c>
      <c r="H41" s="108" t="s">
        <v>680</v>
      </c>
      <c r="I41" s="61">
        <v>1500</v>
      </c>
      <c r="J41" s="23" t="str">
        <f t="shared" si="7"/>
        <v/>
      </c>
      <c r="K41" s="169">
        <f t="shared" si="8"/>
        <v>1500</v>
      </c>
    </row>
    <row r="42" spans="2:11" s="26" customFormat="1" ht="36" x14ac:dyDescent="0.35">
      <c r="B42" s="22" t="s">
        <v>11</v>
      </c>
      <c r="C42" s="109" t="str">
        <f t="shared" si="0"/>
        <v>Universidad Nacional Mayor de San Marcos</v>
      </c>
      <c r="D42" s="109" t="str">
        <f t="shared" si="5"/>
        <v>Peru</v>
      </c>
      <c r="E42" s="174" t="str">
        <f t="shared" si="6"/>
        <v>Partner</v>
      </c>
      <c r="F42" s="108" t="s">
        <v>163</v>
      </c>
      <c r="G42" s="108" t="s">
        <v>676</v>
      </c>
      <c r="H42" s="108" t="s">
        <v>680</v>
      </c>
      <c r="I42" s="61">
        <v>30</v>
      </c>
      <c r="J42" s="23" t="str">
        <f t="shared" si="7"/>
        <v/>
      </c>
      <c r="K42" s="169">
        <f t="shared" si="8"/>
        <v>30</v>
      </c>
    </row>
    <row r="43" spans="2:11" s="26" customFormat="1" ht="36" x14ac:dyDescent="0.35">
      <c r="B43" s="22" t="s">
        <v>11</v>
      </c>
      <c r="C43" s="109" t="str">
        <f t="shared" si="0"/>
        <v>Universidad Nacional Mayor de San Marcos</v>
      </c>
      <c r="D43" s="109" t="str">
        <f t="shared" si="5"/>
        <v>Peru</v>
      </c>
      <c r="E43" s="174" t="str">
        <f t="shared" si="6"/>
        <v>Partner</v>
      </c>
      <c r="F43" s="108" t="s">
        <v>163</v>
      </c>
      <c r="G43" s="108" t="s">
        <v>676</v>
      </c>
      <c r="H43" s="108" t="s">
        <v>680</v>
      </c>
      <c r="I43" s="61">
        <v>20475</v>
      </c>
      <c r="J43" s="23" t="str">
        <f t="shared" si="7"/>
        <v/>
      </c>
      <c r="K43" s="169">
        <f t="shared" si="8"/>
        <v>20475</v>
      </c>
    </row>
    <row r="44" spans="2:11" s="26" customFormat="1" ht="36" x14ac:dyDescent="0.35">
      <c r="B44" s="22" t="s">
        <v>12</v>
      </c>
      <c r="C44" s="109" t="str">
        <f t="shared" si="0"/>
        <v>Universidad Nacional de Ingenieria</v>
      </c>
      <c r="D44" s="109" t="str">
        <f t="shared" si="5"/>
        <v>Peru</v>
      </c>
      <c r="E44" s="174" t="str">
        <f t="shared" si="6"/>
        <v>Partner</v>
      </c>
      <c r="F44" s="108" t="s">
        <v>163</v>
      </c>
      <c r="G44" s="108" t="s">
        <v>676</v>
      </c>
      <c r="H44" s="108" t="s">
        <v>680</v>
      </c>
      <c r="I44" s="61">
        <v>1500</v>
      </c>
      <c r="J44" s="23" t="str">
        <f t="shared" si="7"/>
        <v/>
      </c>
      <c r="K44" s="169">
        <f t="shared" si="8"/>
        <v>1500</v>
      </c>
    </row>
    <row r="45" spans="2:11" s="26" customFormat="1" ht="36" x14ac:dyDescent="0.35">
      <c r="B45" s="22" t="s">
        <v>12</v>
      </c>
      <c r="C45" s="109" t="str">
        <f t="shared" si="0"/>
        <v>Universidad Nacional de Ingenieria</v>
      </c>
      <c r="D45" s="109" t="str">
        <f t="shared" si="5"/>
        <v>Peru</v>
      </c>
      <c r="E45" s="174" t="str">
        <f t="shared" si="6"/>
        <v>Partner</v>
      </c>
      <c r="F45" s="108" t="s">
        <v>163</v>
      </c>
      <c r="G45" s="108" t="s">
        <v>676</v>
      </c>
      <c r="H45" s="108" t="s">
        <v>680</v>
      </c>
      <c r="I45" s="61">
        <v>30</v>
      </c>
      <c r="J45" s="23" t="str">
        <f t="shared" si="7"/>
        <v/>
      </c>
      <c r="K45" s="169">
        <f t="shared" si="8"/>
        <v>30</v>
      </c>
    </row>
    <row r="46" spans="2:11" s="26" customFormat="1" ht="36" x14ac:dyDescent="0.35">
      <c r="B46" s="22" t="s">
        <v>12</v>
      </c>
      <c r="C46" s="109" t="str">
        <f t="shared" si="0"/>
        <v>Universidad Nacional de Ingenieria</v>
      </c>
      <c r="D46" s="109" t="str">
        <f t="shared" si="5"/>
        <v>Peru</v>
      </c>
      <c r="E46" s="174" t="str">
        <f t="shared" si="6"/>
        <v>Partner</v>
      </c>
      <c r="F46" s="108" t="s">
        <v>163</v>
      </c>
      <c r="G46" s="108" t="s">
        <v>676</v>
      </c>
      <c r="H46" s="108" t="s">
        <v>680</v>
      </c>
      <c r="I46" s="61">
        <v>20475</v>
      </c>
      <c r="J46" s="23" t="str">
        <f t="shared" si="7"/>
        <v/>
      </c>
      <c r="K46" s="169">
        <f t="shared" si="8"/>
        <v>20475</v>
      </c>
    </row>
    <row r="47" spans="2:11" s="26" customFormat="1" ht="36" x14ac:dyDescent="0.35">
      <c r="B47" s="22" t="s">
        <v>13</v>
      </c>
      <c r="C47" s="109" t="str">
        <f t="shared" si="0"/>
        <v>Universidad Central de Venezuela</v>
      </c>
      <c r="D47" s="109" t="str">
        <f t="shared" si="5"/>
        <v>Venezuela</v>
      </c>
      <c r="E47" s="174" t="str">
        <f t="shared" si="6"/>
        <v>Partner</v>
      </c>
      <c r="F47" s="108" t="s">
        <v>163</v>
      </c>
      <c r="G47" s="108" t="s">
        <v>676</v>
      </c>
      <c r="H47" s="108" t="s">
        <v>680</v>
      </c>
      <c r="I47" s="61">
        <v>1500</v>
      </c>
      <c r="J47" s="23" t="str">
        <f t="shared" si="7"/>
        <v/>
      </c>
      <c r="K47" s="169">
        <f t="shared" si="8"/>
        <v>1500</v>
      </c>
    </row>
    <row r="48" spans="2:11" s="26" customFormat="1" ht="36" x14ac:dyDescent="0.35">
      <c r="B48" s="22" t="s">
        <v>13</v>
      </c>
      <c r="C48" s="109" t="str">
        <f t="shared" si="0"/>
        <v>Universidad Central de Venezuela</v>
      </c>
      <c r="D48" s="109" t="str">
        <f t="shared" si="5"/>
        <v>Venezuela</v>
      </c>
      <c r="E48" s="174" t="str">
        <f t="shared" si="6"/>
        <v>Partner</v>
      </c>
      <c r="F48" s="108" t="s">
        <v>163</v>
      </c>
      <c r="G48" s="108" t="s">
        <v>676</v>
      </c>
      <c r="H48" s="108" t="s">
        <v>680</v>
      </c>
      <c r="I48" s="61">
        <v>300</v>
      </c>
      <c r="J48" s="23" t="str">
        <f t="shared" si="7"/>
        <v/>
      </c>
      <c r="K48" s="169">
        <f t="shared" si="8"/>
        <v>300</v>
      </c>
    </row>
    <row r="49" spans="2:11" s="26" customFormat="1" ht="36" x14ac:dyDescent="0.35">
      <c r="B49" s="22" t="s">
        <v>13</v>
      </c>
      <c r="C49" s="109" t="str">
        <f t="shared" si="0"/>
        <v>Universidad Central de Venezuela</v>
      </c>
      <c r="D49" s="109" t="str">
        <f t="shared" si="5"/>
        <v>Venezuela</v>
      </c>
      <c r="E49" s="174" t="str">
        <f t="shared" si="6"/>
        <v>Partner</v>
      </c>
      <c r="F49" s="108" t="s">
        <v>163</v>
      </c>
      <c r="G49" s="108" t="s">
        <v>676</v>
      </c>
      <c r="H49" s="108" t="s">
        <v>680</v>
      </c>
      <c r="I49" s="61">
        <v>28612</v>
      </c>
      <c r="J49" s="23" t="str">
        <f t="shared" si="7"/>
        <v/>
      </c>
      <c r="K49" s="169">
        <f t="shared" si="8"/>
        <v>28612</v>
      </c>
    </row>
    <row r="50" spans="2:11" s="26" customFormat="1" ht="36" x14ac:dyDescent="0.35">
      <c r="B50" s="22" t="s">
        <v>14</v>
      </c>
      <c r="C50" s="109" t="str">
        <f t="shared" si="0"/>
        <v>Universidad Simon Bolivar</v>
      </c>
      <c r="D50" s="109" t="str">
        <f t="shared" si="5"/>
        <v>Venezuela</v>
      </c>
      <c r="E50" s="174" t="str">
        <f t="shared" si="6"/>
        <v>Partner</v>
      </c>
      <c r="F50" s="108" t="s">
        <v>163</v>
      </c>
      <c r="G50" s="108" t="s">
        <v>676</v>
      </c>
      <c r="H50" s="108" t="s">
        <v>680</v>
      </c>
      <c r="I50" s="61">
        <v>1500</v>
      </c>
      <c r="J50" s="23" t="str">
        <f t="shared" si="7"/>
        <v/>
      </c>
      <c r="K50" s="169">
        <f t="shared" si="8"/>
        <v>1500</v>
      </c>
    </row>
    <row r="51" spans="2:11" s="26" customFormat="1" ht="36" x14ac:dyDescent="0.35">
      <c r="B51" s="22" t="s">
        <v>14</v>
      </c>
      <c r="C51" s="109" t="str">
        <f t="shared" si="0"/>
        <v>Universidad Simon Bolivar</v>
      </c>
      <c r="D51" s="109" t="str">
        <f t="shared" si="5"/>
        <v>Venezuela</v>
      </c>
      <c r="E51" s="174" t="str">
        <f t="shared" si="6"/>
        <v>Partner</v>
      </c>
      <c r="F51" s="108" t="s">
        <v>163</v>
      </c>
      <c r="G51" s="108" t="s">
        <v>676</v>
      </c>
      <c r="H51" s="108" t="s">
        <v>680</v>
      </c>
      <c r="I51" s="61">
        <v>300</v>
      </c>
      <c r="J51" s="23" t="str">
        <f t="shared" si="7"/>
        <v/>
      </c>
      <c r="K51" s="169">
        <f t="shared" si="8"/>
        <v>300</v>
      </c>
    </row>
    <row r="52" spans="2:11" s="26" customFormat="1" ht="36" x14ac:dyDescent="0.35">
      <c r="B52" s="22" t="s">
        <v>14</v>
      </c>
      <c r="C52" s="109" t="str">
        <f t="shared" si="0"/>
        <v>Universidad Simon Bolivar</v>
      </c>
      <c r="D52" s="109" t="str">
        <f t="shared" si="5"/>
        <v>Venezuela</v>
      </c>
      <c r="E52" s="174" t="str">
        <f t="shared" si="6"/>
        <v>Partner</v>
      </c>
      <c r="F52" s="108" t="s">
        <v>163</v>
      </c>
      <c r="G52" s="108" t="s">
        <v>676</v>
      </c>
      <c r="H52" s="108" t="s">
        <v>680</v>
      </c>
      <c r="I52" s="61">
        <v>28612</v>
      </c>
      <c r="J52" s="23" t="str">
        <f t="shared" si="7"/>
        <v/>
      </c>
      <c r="K52" s="169">
        <f t="shared" si="8"/>
        <v>28612</v>
      </c>
    </row>
    <row r="54" spans="2:11" x14ac:dyDescent="0.4">
      <c r="B54" s="20" t="s">
        <v>396</v>
      </c>
    </row>
    <row r="55" spans="2:11" x14ac:dyDescent="0.4">
      <c r="B55" s="20" t="s">
        <v>185</v>
      </c>
    </row>
    <row r="56" spans="2:11" x14ac:dyDescent="0.4">
      <c r="B56" s="20" t="s">
        <v>287</v>
      </c>
    </row>
  </sheetData>
  <sheetProtection algorithmName="SHA-512" hashValue="mlvzZmmp3xKBBJyrns7eberHqjiM+3MmyMtXjxp6YL8CxH2xcyV0NimCxMN0Zw37FSdGsTpLd7s2z7gWnwaw+w==" saltValue="BvxEFQnmdFNEt9zBtoykVQ==" spinCount="100000" sheet="1" objects="1" scenarios="1" selectLockedCells="1"/>
  <dataConsolidate/>
  <mergeCells count="4">
    <mergeCell ref="B2:J2"/>
    <mergeCell ref="B4:B6"/>
    <mergeCell ref="C4:C6"/>
    <mergeCell ref="D4:D6"/>
  </mergeCells>
  <conditionalFormatting sqref="J9:J10">
    <cfRule type="containsText" dxfId="205" priority="438" operator="containsText" text="Error">
      <formula>NOT(ISERROR(SEARCH("Error",J9)))</formula>
    </cfRule>
  </conditionalFormatting>
  <conditionalFormatting sqref="C9:C10">
    <cfRule type="cellIs" dxfId="204" priority="327" operator="equal">
      <formula>""</formula>
    </cfRule>
  </conditionalFormatting>
  <conditionalFormatting sqref="D9:D10">
    <cfRule type="expression" dxfId="203" priority="326">
      <formula>COUNTIF(CountryALL,D9)=0</formula>
    </cfRule>
  </conditionalFormatting>
  <conditionalFormatting sqref="E9:E10">
    <cfRule type="expression" dxfId="202" priority="229">
      <formula>COUNTIF(Role_Code,E9)=0</formula>
    </cfRule>
  </conditionalFormatting>
  <conditionalFormatting sqref="J11">
    <cfRule type="containsText" dxfId="201" priority="168" operator="containsText" text="Error">
      <formula>NOT(ISERROR(SEARCH("Error",J11)))</formula>
    </cfRule>
  </conditionalFormatting>
  <conditionalFormatting sqref="C11">
    <cfRule type="cellIs" dxfId="200" priority="167" operator="equal">
      <formula>""</formula>
    </cfRule>
  </conditionalFormatting>
  <conditionalFormatting sqref="D11">
    <cfRule type="expression" dxfId="199" priority="166">
      <formula>COUNTIF(CountryALL,D11)=0</formula>
    </cfRule>
  </conditionalFormatting>
  <conditionalFormatting sqref="E11">
    <cfRule type="expression" dxfId="198" priority="165">
      <formula>COUNTIF(Role_Code,E11)=0</formula>
    </cfRule>
  </conditionalFormatting>
  <conditionalFormatting sqref="J12">
    <cfRule type="containsText" dxfId="197" priority="164" operator="containsText" text="Error">
      <formula>NOT(ISERROR(SEARCH("Error",J12)))</formula>
    </cfRule>
  </conditionalFormatting>
  <conditionalFormatting sqref="C12">
    <cfRule type="cellIs" dxfId="196" priority="163" operator="equal">
      <formula>""</formula>
    </cfRule>
  </conditionalFormatting>
  <conditionalFormatting sqref="D12">
    <cfRule type="expression" dxfId="195" priority="162">
      <formula>COUNTIF(CountryALL,D12)=0</formula>
    </cfRule>
  </conditionalFormatting>
  <conditionalFormatting sqref="E12">
    <cfRule type="expression" dxfId="194" priority="161">
      <formula>COUNTIF(Role_Code,E12)=0</formula>
    </cfRule>
  </conditionalFormatting>
  <conditionalFormatting sqref="J13">
    <cfRule type="containsText" dxfId="193" priority="160" operator="containsText" text="Error">
      <formula>NOT(ISERROR(SEARCH("Error",J13)))</formula>
    </cfRule>
  </conditionalFormatting>
  <conditionalFormatting sqref="C13">
    <cfRule type="cellIs" dxfId="192" priority="159" operator="equal">
      <formula>""</formula>
    </cfRule>
  </conditionalFormatting>
  <conditionalFormatting sqref="D13">
    <cfRule type="expression" dxfId="191" priority="158">
      <formula>COUNTIF(CountryALL,D13)=0</formula>
    </cfRule>
  </conditionalFormatting>
  <conditionalFormatting sqref="E13">
    <cfRule type="expression" dxfId="190" priority="157">
      <formula>COUNTIF(Role_Code,E13)=0</formula>
    </cfRule>
  </conditionalFormatting>
  <conditionalFormatting sqref="J14">
    <cfRule type="containsText" dxfId="189" priority="156" operator="containsText" text="Error">
      <formula>NOT(ISERROR(SEARCH("Error",J14)))</formula>
    </cfRule>
  </conditionalFormatting>
  <conditionalFormatting sqref="C14">
    <cfRule type="cellIs" dxfId="188" priority="155" operator="equal">
      <formula>""</formula>
    </cfRule>
  </conditionalFormatting>
  <conditionalFormatting sqref="D14">
    <cfRule type="expression" dxfId="187" priority="154">
      <formula>COUNTIF(CountryALL,D14)=0</formula>
    </cfRule>
  </conditionalFormatting>
  <conditionalFormatting sqref="E14">
    <cfRule type="expression" dxfId="186" priority="153">
      <formula>COUNTIF(Role_Code,E14)=0</formula>
    </cfRule>
  </conditionalFormatting>
  <conditionalFormatting sqref="J15">
    <cfRule type="containsText" dxfId="185" priority="152" operator="containsText" text="Error">
      <formula>NOT(ISERROR(SEARCH("Error",J15)))</formula>
    </cfRule>
  </conditionalFormatting>
  <conditionalFormatting sqref="C15">
    <cfRule type="cellIs" dxfId="184" priority="151" operator="equal">
      <formula>""</formula>
    </cfRule>
  </conditionalFormatting>
  <conditionalFormatting sqref="D15">
    <cfRule type="expression" dxfId="183" priority="150">
      <formula>COUNTIF(CountryALL,D15)=0</formula>
    </cfRule>
  </conditionalFormatting>
  <conditionalFormatting sqref="E15">
    <cfRule type="expression" dxfId="182" priority="149">
      <formula>COUNTIF(Role_Code,E15)=0</formula>
    </cfRule>
  </conditionalFormatting>
  <conditionalFormatting sqref="J16">
    <cfRule type="containsText" dxfId="181" priority="148" operator="containsText" text="Error">
      <formula>NOT(ISERROR(SEARCH("Error",J16)))</formula>
    </cfRule>
  </conditionalFormatting>
  <conditionalFormatting sqref="C16">
    <cfRule type="cellIs" dxfId="180" priority="147" operator="equal">
      <formula>""</formula>
    </cfRule>
  </conditionalFormatting>
  <conditionalFormatting sqref="D16">
    <cfRule type="expression" dxfId="179" priority="146">
      <formula>COUNTIF(CountryALL,D16)=0</formula>
    </cfRule>
  </conditionalFormatting>
  <conditionalFormatting sqref="E16">
    <cfRule type="expression" dxfId="178" priority="145">
      <formula>COUNTIF(Role_Code,E16)=0</formula>
    </cfRule>
  </conditionalFormatting>
  <conditionalFormatting sqref="J17">
    <cfRule type="containsText" dxfId="177" priority="144" operator="containsText" text="Error">
      <formula>NOT(ISERROR(SEARCH("Error",J17)))</formula>
    </cfRule>
  </conditionalFormatting>
  <conditionalFormatting sqref="C17">
    <cfRule type="cellIs" dxfId="176" priority="143" operator="equal">
      <formula>""</formula>
    </cfRule>
  </conditionalFormatting>
  <conditionalFormatting sqref="D17">
    <cfRule type="expression" dxfId="175" priority="142">
      <formula>COUNTIF(CountryALL,D17)=0</formula>
    </cfRule>
  </conditionalFormatting>
  <conditionalFormatting sqref="E17">
    <cfRule type="expression" dxfId="174" priority="141">
      <formula>COUNTIF(Role_Code,E17)=0</formula>
    </cfRule>
  </conditionalFormatting>
  <conditionalFormatting sqref="J18">
    <cfRule type="containsText" dxfId="173" priority="140" operator="containsText" text="Error">
      <formula>NOT(ISERROR(SEARCH("Error",J18)))</formula>
    </cfRule>
  </conditionalFormatting>
  <conditionalFormatting sqref="C18">
    <cfRule type="cellIs" dxfId="172" priority="139" operator="equal">
      <formula>""</formula>
    </cfRule>
  </conditionalFormatting>
  <conditionalFormatting sqref="D18">
    <cfRule type="expression" dxfId="171" priority="138">
      <formula>COUNTIF(CountryALL,D18)=0</formula>
    </cfRule>
  </conditionalFormatting>
  <conditionalFormatting sqref="E18">
    <cfRule type="expression" dxfId="170" priority="137">
      <formula>COUNTIF(Role_Code,E18)=0</formula>
    </cfRule>
  </conditionalFormatting>
  <conditionalFormatting sqref="J19">
    <cfRule type="containsText" dxfId="169" priority="136" operator="containsText" text="Error">
      <formula>NOT(ISERROR(SEARCH("Error",J19)))</formula>
    </cfRule>
  </conditionalFormatting>
  <conditionalFormatting sqref="C19">
    <cfRule type="cellIs" dxfId="168" priority="135" operator="equal">
      <formula>""</formula>
    </cfRule>
  </conditionalFormatting>
  <conditionalFormatting sqref="D19">
    <cfRule type="expression" dxfId="167" priority="134">
      <formula>COUNTIF(CountryALL,D19)=0</formula>
    </cfRule>
  </conditionalFormatting>
  <conditionalFormatting sqref="E19">
    <cfRule type="expression" dxfId="166" priority="133">
      <formula>COUNTIF(Role_Code,E19)=0</formula>
    </cfRule>
  </conditionalFormatting>
  <conditionalFormatting sqref="J20">
    <cfRule type="containsText" dxfId="165" priority="132" operator="containsText" text="Error">
      <formula>NOT(ISERROR(SEARCH("Error",J20)))</formula>
    </cfRule>
  </conditionalFormatting>
  <conditionalFormatting sqref="C20">
    <cfRule type="cellIs" dxfId="164" priority="131" operator="equal">
      <formula>""</formula>
    </cfRule>
  </conditionalFormatting>
  <conditionalFormatting sqref="D20">
    <cfRule type="expression" dxfId="163" priority="130">
      <formula>COUNTIF(CountryALL,D20)=0</formula>
    </cfRule>
  </conditionalFormatting>
  <conditionalFormatting sqref="E20">
    <cfRule type="expression" dxfId="162" priority="129">
      <formula>COUNTIF(Role_Code,E20)=0</formula>
    </cfRule>
  </conditionalFormatting>
  <conditionalFormatting sqref="J21">
    <cfRule type="containsText" dxfId="161" priority="128" operator="containsText" text="Error">
      <formula>NOT(ISERROR(SEARCH("Error",J21)))</formula>
    </cfRule>
  </conditionalFormatting>
  <conditionalFormatting sqref="C21">
    <cfRule type="cellIs" dxfId="160" priority="127" operator="equal">
      <formula>""</formula>
    </cfRule>
  </conditionalFormatting>
  <conditionalFormatting sqref="D21">
    <cfRule type="expression" dxfId="159" priority="126">
      <formula>COUNTIF(CountryALL,D21)=0</formula>
    </cfRule>
  </conditionalFormatting>
  <conditionalFormatting sqref="E21">
    <cfRule type="expression" dxfId="158" priority="125">
      <formula>COUNTIF(Role_Code,E21)=0</formula>
    </cfRule>
  </conditionalFormatting>
  <conditionalFormatting sqref="J22">
    <cfRule type="containsText" dxfId="157" priority="124" operator="containsText" text="Error">
      <formula>NOT(ISERROR(SEARCH("Error",J22)))</formula>
    </cfRule>
  </conditionalFormatting>
  <conditionalFormatting sqref="C22">
    <cfRule type="cellIs" dxfId="156" priority="123" operator="equal">
      <formula>""</formula>
    </cfRule>
  </conditionalFormatting>
  <conditionalFormatting sqref="D22">
    <cfRule type="expression" dxfId="155" priority="122">
      <formula>COUNTIF(CountryALL,D22)=0</formula>
    </cfRule>
  </conditionalFormatting>
  <conditionalFormatting sqref="E22">
    <cfRule type="expression" dxfId="154" priority="121">
      <formula>COUNTIF(Role_Code,E22)=0</formula>
    </cfRule>
  </conditionalFormatting>
  <conditionalFormatting sqref="J23">
    <cfRule type="containsText" dxfId="153" priority="120" operator="containsText" text="Error">
      <formula>NOT(ISERROR(SEARCH("Error",J23)))</formula>
    </cfRule>
  </conditionalFormatting>
  <conditionalFormatting sqref="C23">
    <cfRule type="cellIs" dxfId="152" priority="119" operator="equal">
      <formula>""</formula>
    </cfRule>
  </conditionalFormatting>
  <conditionalFormatting sqref="D23">
    <cfRule type="expression" dxfId="151" priority="118">
      <formula>COUNTIF(CountryALL,D23)=0</formula>
    </cfRule>
  </conditionalFormatting>
  <conditionalFormatting sqref="E23">
    <cfRule type="expression" dxfId="150" priority="117">
      <formula>COUNTIF(Role_Code,E23)=0</formula>
    </cfRule>
  </conditionalFormatting>
  <conditionalFormatting sqref="J24">
    <cfRule type="containsText" dxfId="149" priority="116" operator="containsText" text="Error">
      <formula>NOT(ISERROR(SEARCH("Error",J24)))</formula>
    </cfRule>
  </conditionalFormatting>
  <conditionalFormatting sqref="C24">
    <cfRule type="cellIs" dxfId="148" priority="115" operator="equal">
      <formula>""</formula>
    </cfRule>
  </conditionalFormatting>
  <conditionalFormatting sqref="D24">
    <cfRule type="expression" dxfId="147" priority="114">
      <formula>COUNTIF(CountryALL,D24)=0</formula>
    </cfRule>
  </conditionalFormatting>
  <conditionalFormatting sqref="E24">
    <cfRule type="expression" dxfId="146" priority="113">
      <formula>COUNTIF(Role_Code,E24)=0</formula>
    </cfRule>
  </conditionalFormatting>
  <conditionalFormatting sqref="J25">
    <cfRule type="containsText" dxfId="145" priority="112" operator="containsText" text="Error">
      <formula>NOT(ISERROR(SEARCH("Error",J25)))</formula>
    </cfRule>
  </conditionalFormatting>
  <conditionalFormatting sqref="C25">
    <cfRule type="cellIs" dxfId="144" priority="111" operator="equal">
      <formula>""</formula>
    </cfRule>
  </conditionalFormatting>
  <conditionalFormatting sqref="D25">
    <cfRule type="expression" dxfId="143" priority="110">
      <formula>COUNTIF(CountryALL,D25)=0</formula>
    </cfRule>
  </conditionalFormatting>
  <conditionalFormatting sqref="E25">
    <cfRule type="expression" dxfId="142" priority="109">
      <formula>COUNTIF(Role_Code,E25)=0</formula>
    </cfRule>
  </conditionalFormatting>
  <conditionalFormatting sqref="J26">
    <cfRule type="containsText" dxfId="141" priority="108" operator="containsText" text="Error">
      <formula>NOT(ISERROR(SEARCH("Error",J26)))</formula>
    </cfRule>
  </conditionalFormatting>
  <conditionalFormatting sqref="C26">
    <cfRule type="cellIs" dxfId="140" priority="107" operator="equal">
      <formula>""</formula>
    </cfRule>
  </conditionalFormatting>
  <conditionalFormatting sqref="D26">
    <cfRule type="expression" dxfId="139" priority="106">
      <formula>COUNTIF(CountryALL,D26)=0</formula>
    </cfRule>
  </conditionalFormatting>
  <conditionalFormatting sqref="E26">
    <cfRule type="expression" dxfId="138" priority="105">
      <formula>COUNTIF(Role_Code,E26)=0</formula>
    </cfRule>
  </conditionalFormatting>
  <conditionalFormatting sqref="J27">
    <cfRule type="containsText" dxfId="137" priority="104" operator="containsText" text="Error">
      <formula>NOT(ISERROR(SEARCH("Error",J27)))</formula>
    </cfRule>
  </conditionalFormatting>
  <conditionalFormatting sqref="C27">
    <cfRule type="cellIs" dxfId="136" priority="103" operator="equal">
      <formula>""</formula>
    </cfRule>
  </conditionalFormatting>
  <conditionalFormatting sqref="D27">
    <cfRule type="expression" dxfId="135" priority="102">
      <formula>COUNTIF(CountryALL,D27)=0</formula>
    </cfRule>
  </conditionalFormatting>
  <conditionalFormatting sqref="E27">
    <cfRule type="expression" dxfId="134" priority="101">
      <formula>COUNTIF(Role_Code,E27)=0</formula>
    </cfRule>
  </conditionalFormatting>
  <conditionalFormatting sqref="J28">
    <cfRule type="containsText" dxfId="133" priority="100" operator="containsText" text="Error">
      <formula>NOT(ISERROR(SEARCH("Error",J28)))</formula>
    </cfRule>
  </conditionalFormatting>
  <conditionalFormatting sqref="C28">
    <cfRule type="cellIs" dxfId="132" priority="99" operator="equal">
      <formula>""</formula>
    </cfRule>
  </conditionalFormatting>
  <conditionalFormatting sqref="D28">
    <cfRule type="expression" dxfId="131" priority="98">
      <formula>COUNTIF(CountryALL,D28)=0</formula>
    </cfRule>
  </conditionalFormatting>
  <conditionalFormatting sqref="E28">
    <cfRule type="expression" dxfId="130" priority="97">
      <formula>COUNTIF(Role_Code,E28)=0</formula>
    </cfRule>
  </conditionalFormatting>
  <conditionalFormatting sqref="J29">
    <cfRule type="containsText" dxfId="129" priority="96" operator="containsText" text="Error">
      <formula>NOT(ISERROR(SEARCH("Error",J29)))</formula>
    </cfRule>
  </conditionalFormatting>
  <conditionalFormatting sqref="C29">
    <cfRule type="cellIs" dxfId="128" priority="95" operator="equal">
      <formula>""</formula>
    </cfRule>
  </conditionalFormatting>
  <conditionalFormatting sqref="D29">
    <cfRule type="expression" dxfId="127" priority="94">
      <formula>COUNTIF(CountryALL,D29)=0</formula>
    </cfRule>
  </conditionalFormatting>
  <conditionalFormatting sqref="E29">
    <cfRule type="expression" dxfId="126" priority="93">
      <formula>COUNTIF(Role_Code,E29)=0</formula>
    </cfRule>
  </conditionalFormatting>
  <conditionalFormatting sqref="J30">
    <cfRule type="containsText" dxfId="125" priority="92" operator="containsText" text="Error">
      <formula>NOT(ISERROR(SEARCH("Error",J30)))</formula>
    </cfRule>
  </conditionalFormatting>
  <conditionalFormatting sqref="C30">
    <cfRule type="cellIs" dxfId="124" priority="91" operator="equal">
      <formula>""</formula>
    </cfRule>
  </conditionalFormatting>
  <conditionalFormatting sqref="D30">
    <cfRule type="expression" dxfId="123" priority="90">
      <formula>COUNTIF(CountryALL,D30)=0</formula>
    </cfRule>
  </conditionalFormatting>
  <conditionalFormatting sqref="E30">
    <cfRule type="expression" dxfId="122" priority="89">
      <formula>COUNTIF(Role_Code,E30)=0</formula>
    </cfRule>
  </conditionalFormatting>
  <conditionalFormatting sqref="J31">
    <cfRule type="containsText" dxfId="121" priority="88" operator="containsText" text="Error">
      <formula>NOT(ISERROR(SEARCH("Error",J31)))</formula>
    </cfRule>
  </conditionalFormatting>
  <conditionalFormatting sqref="C31">
    <cfRule type="cellIs" dxfId="120" priority="87" operator="equal">
      <formula>""</formula>
    </cfRule>
  </conditionalFormatting>
  <conditionalFormatting sqref="D31">
    <cfRule type="expression" dxfId="119" priority="86">
      <formula>COUNTIF(CountryALL,D31)=0</formula>
    </cfRule>
  </conditionalFormatting>
  <conditionalFormatting sqref="E31">
    <cfRule type="expression" dxfId="118" priority="85">
      <formula>COUNTIF(Role_Code,E31)=0</formula>
    </cfRule>
  </conditionalFormatting>
  <conditionalFormatting sqref="J32">
    <cfRule type="containsText" dxfId="117" priority="84" operator="containsText" text="Error">
      <formula>NOT(ISERROR(SEARCH("Error",J32)))</formula>
    </cfRule>
  </conditionalFormatting>
  <conditionalFormatting sqref="C32">
    <cfRule type="cellIs" dxfId="116" priority="83" operator="equal">
      <formula>""</formula>
    </cfRule>
  </conditionalFormatting>
  <conditionalFormatting sqref="D32">
    <cfRule type="expression" dxfId="115" priority="82">
      <formula>COUNTIF(CountryALL,D32)=0</formula>
    </cfRule>
  </conditionalFormatting>
  <conditionalFormatting sqref="E32">
    <cfRule type="expression" dxfId="114" priority="81">
      <formula>COUNTIF(Role_Code,E32)=0</formula>
    </cfRule>
  </conditionalFormatting>
  <conditionalFormatting sqref="J33">
    <cfRule type="containsText" dxfId="113" priority="80" operator="containsText" text="Error">
      <formula>NOT(ISERROR(SEARCH("Error",J33)))</formula>
    </cfRule>
  </conditionalFormatting>
  <conditionalFormatting sqref="C33">
    <cfRule type="cellIs" dxfId="112" priority="79" operator="equal">
      <formula>""</formula>
    </cfRule>
  </conditionalFormatting>
  <conditionalFormatting sqref="D33">
    <cfRule type="expression" dxfId="111" priority="78">
      <formula>COUNTIF(CountryALL,D33)=0</formula>
    </cfRule>
  </conditionalFormatting>
  <conditionalFormatting sqref="E33">
    <cfRule type="expression" dxfId="110" priority="77">
      <formula>COUNTIF(Role_Code,E33)=0</formula>
    </cfRule>
  </conditionalFormatting>
  <conditionalFormatting sqref="J34">
    <cfRule type="containsText" dxfId="109" priority="76" operator="containsText" text="Error">
      <formula>NOT(ISERROR(SEARCH("Error",J34)))</formula>
    </cfRule>
  </conditionalFormatting>
  <conditionalFormatting sqref="C34">
    <cfRule type="cellIs" dxfId="108" priority="75" operator="equal">
      <formula>""</formula>
    </cfRule>
  </conditionalFormatting>
  <conditionalFormatting sqref="D34">
    <cfRule type="expression" dxfId="107" priority="74">
      <formula>COUNTIF(CountryALL,D34)=0</formula>
    </cfRule>
  </conditionalFormatting>
  <conditionalFormatting sqref="E34">
    <cfRule type="expression" dxfId="106" priority="73">
      <formula>COUNTIF(Role_Code,E34)=0</formula>
    </cfRule>
  </conditionalFormatting>
  <conditionalFormatting sqref="J35">
    <cfRule type="containsText" dxfId="105" priority="72" operator="containsText" text="Error">
      <formula>NOT(ISERROR(SEARCH("Error",J35)))</formula>
    </cfRule>
  </conditionalFormatting>
  <conditionalFormatting sqref="C35">
    <cfRule type="cellIs" dxfId="104" priority="71" operator="equal">
      <formula>""</formula>
    </cfRule>
  </conditionalFormatting>
  <conditionalFormatting sqref="D35">
    <cfRule type="expression" dxfId="103" priority="70">
      <formula>COUNTIF(CountryALL,D35)=0</formula>
    </cfRule>
  </conditionalFormatting>
  <conditionalFormatting sqref="E35">
    <cfRule type="expression" dxfId="102" priority="69">
      <formula>COUNTIF(Role_Code,E35)=0</formula>
    </cfRule>
  </conditionalFormatting>
  <conditionalFormatting sqref="J36">
    <cfRule type="containsText" dxfId="101" priority="68" operator="containsText" text="Error">
      <formula>NOT(ISERROR(SEARCH("Error",J36)))</formula>
    </cfRule>
  </conditionalFormatting>
  <conditionalFormatting sqref="C36">
    <cfRule type="cellIs" dxfId="100" priority="67" operator="equal">
      <formula>""</formula>
    </cfRule>
  </conditionalFormatting>
  <conditionalFormatting sqref="D36">
    <cfRule type="expression" dxfId="99" priority="66">
      <formula>COUNTIF(CountryALL,D36)=0</formula>
    </cfRule>
  </conditionalFormatting>
  <conditionalFormatting sqref="E36">
    <cfRule type="expression" dxfId="98" priority="65">
      <formula>COUNTIF(Role_Code,E36)=0</formula>
    </cfRule>
  </conditionalFormatting>
  <conditionalFormatting sqref="J37">
    <cfRule type="containsText" dxfId="97" priority="64" operator="containsText" text="Error">
      <formula>NOT(ISERROR(SEARCH("Error",J37)))</formula>
    </cfRule>
  </conditionalFormatting>
  <conditionalFormatting sqref="C37">
    <cfRule type="cellIs" dxfId="96" priority="63" operator="equal">
      <formula>""</formula>
    </cfRule>
  </conditionalFormatting>
  <conditionalFormatting sqref="D37">
    <cfRule type="expression" dxfId="95" priority="62">
      <formula>COUNTIF(CountryALL,D37)=0</formula>
    </cfRule>
  </conditionalFormatting>
  <conditionalFormatting sqref="E37">
    <cfRule type="expression" dxfId="94" priority="61">
      <formula>COUNTIF(Role_Code,E37)=0</formula>
    </cfRule>
  </conditionalFormatting>
  <conditionalFormatting sqref="J38">
    <cfRule type="containsText" dxfId="93" priority="60" operator="containsText" text="Error">
      <formula>NOT(ISERROR(SEARCH("Error",J38)))</formula>
    </cfRule>
  </conditionalFormatting>
  <conditionalFormatting sqref="C38">
    <cfRule type="cellIs" dxfId="92" priority="59" operator="equal">
      <formula>""</formula>
    </cfRule>
  </conditionalFormatting>
  <conditionalFormatting sqref="D38">
    <cfRule type="expression" dxfId="91" priority="58">
      <formula>COUNTIF(CountryALL,D38)=0</formula>
    </cfRule>
  </conditionalFormatting>
  <conditionalFormatting sqref="E38">
    <cfRule type="expression" dxfId="90" priority="57">
      <formula>COUNTIF(Role_Code,E38)=0</formula>
    </cfRule>
  </conditionalFormatting>
  <conditionalFormatting sqref="J39">
    <cfRule type="containsText" dxfId="89" priority="56" operator="containsText" text="Error">
      <formula>NOT(ISERROR(SEARCH("Error",J39)))</formula>
    </cfRule>
  </conditionalFormatting>
  <conditionalFormatting sqref="C39">
    <cfRule type="cellIs" dxfId="88" priority="55" operator="equal">
      <formula>""</formula>
    </cfRule>
  </conditionalFormatting>
  <conditionalFormatting sqref="D39">
    <cfRule type="expression" dxfId="87" priority="54">
      <formula>COUNTIF(CountryALL,D39)=0</formula>
    </cfRule>
  </conditionalFormatting>
  <conditionalFormatting sqref="E39">
    <cfRule type="expression" dxfId="86" priority="53">
      <formula>COUNTIF(Role_Code,E39)=0</formula>
    </cfRule>
  </conditionalFormatting>
  <conditionalFormatting sqref="J40">
    <cfRule type="containsText" dxfId="85" priority="52" operator="containsText" text="Error">
      <formula>NOT(ISERROR(SEARCH("Error",J40)))</formula>
    </cfRule>
  </conditionalFormatting>
  <conditionalFormatting sqref="C40">
    <cfRule type="cellIs" dxfId="84" priority="51" operator="equal">
      <formula>""</formula>
    </cfRule>
  </conditionalFormatting>
  <conditionalFormatting sqref="D40">
    <cfRule type="expression" dxfId="83" priority="50">
      <formula>COUNTIF(CountryALL,D40)=0</formula>
    </cfRule>
  </conditionalFormatting>
  <conditionalFormatting sqref="E40">
    <cfRule type="expression" dxfId="82" priority="49">
      <formula>COUNTIF(Role_Code,E40)=0</formula>
    </cfRule>
  </conditionalFormatting>
  <conditionalFormatting sqref="J41">
    <cfRule type="containsText" dxfId="81" priority="48" operator="containsText" text="Error">
      <formula>NOT(ISERROR(SEARCH("Error",J41)))</formula>
    </cfRule>
  </conditionalFormatting>
  <conditionalFormatting sqref="C41">
    <cfRule type="cellIs" dxfId="80" priority="47" operator="equal">
      <formula>""</formula>
    </cfRule>
  </conditionalFormatting>
  <conditionalFormatting sqref="D41">
    <cfRule type="expression" dxfId="79" priority="46">
      <formula>COUNTIF(CountryALL,D41)=0</formula>
    </cfRule>
  </conditionalFormatting>
  <conditionalFormatting sqref="E41">
    <cfRule type="expression" dxfId="78" priority="45">
      <formula>COUNTIF(Role_Code,E41)=0</formula>
    </cfRule>
  </conditionalFormatting>
  <conditionalFormatting sqref="J42">
    <cfRule type="containsText" dxfId="77" priority="44" operator="containsText" text="Error">
      <formula>NOT(ISERROR(SEARCH("Error",J42)))</formula>
    </cfRule>
  </conditionalFormatting>
  <conditionalFormatting sqref="C42">
    <cfRule type="cellIs" dxfId="76" priority="43" operator="equal">
      <formula>""</formula>
    </cfRule>
  </conditionalFormatting>
  <conditionalFormatting sqref="D42">
    <cfRule type="expression" dxfId="75" priority="42">
      <formula>COUNTIF(CountryALL,D42)=0</formula>
    </cfRule>
  </conditionalFormatting>
  <conditionalFormatting sqref="E42">
    <cfRule type="expression" dxfId="74" priority="41">
      <formula>COUNTIF(Role_Code,E42)=0</formula>
    </cfRule>
  </conditionalFormatting>
  <conditionalFormatting sqref="J43">
    <cfRule type="containsText" dxfId="73" priority="40" operator="containsText" text="Error">
      <formula>NOT(ISERROR(SEARCH("Error",J43)))</formula>
    </cfRule>
  </conditionalFormatting>
  <conditionalFormatting sqref="C43">
    <cfRule type="cellIs" dxfId="72" priority="39" operator="equal">
      <formula>""</formula>
    </cfRule>
  </conditionalFormatting>
  <conditionalFormatting sqref="D43">
    <cfRule type="expression" dxfId="71" priority="38">
      <formula>COUNTIF(CountryALL,D43)=0</formula>
    </cfRule>
  </conditionalFormatting>
  <conditionalFormatting sqref="E43">
    <cfRule type="expression" dxfId="70" priority="37">
      <formula>COUNTIF(Role_Code,E43)=0</formula>
    </cfRule>
  </conditionalFormatting>
  <conditionalFormatting sqref="J44">
    <cfRule type="containsText" dxfId="69" priority="36" operator="containsText" text="Error">
      <formula>NOT(ISERROR(SEARCH("Error",J44)))</formula>
    </cfRule>
  </conditionalFormatting>
  <conditionalFormatting sqref="C44">
    <cfRule type="cellIs" dxfId="68" priority="35" operator="equal">
      <formula>""</formula>
    </cfRule>
  </conditionalFormatting>
  <conditionalFormatting sqref="D44">
    <cfRule type="expression" dxfId="67" priority="34">
      <formula>COUNTIF(CountryALL,D44)=0</formula>
    </cfRule>
  </conditionalFormatting>
  <conditionalFormatting sqref="E44">
    <cfRule type="expression" dxfId="66" priority="33">
      <formula>COUNTIF(Role_Code,E44)=0</formula>
    </cfRule>
  </conditionalFormatting>
  <conditionalFormatting sqref="J45">
    <cfRule type="containsText" dxfId="65" priority="32" operator="containsText" text="Error">
      <formula>NOT(ISERROR(SEARCH("Error",J45)))</formula>
    </cfRule>
  </conditionalFormatting>
  <conditionalFormatting sqref="C45">
    <cfRule type="cellIs" dxfId="64" priority="31" operator="equal">
      <formula>""</formula>
    </cfRule>
  </conditionalFormatting>
  <conditionalFormatting sqref="D45">
    <cfRule type="expression" dxfId="63" priority="30">
      <formula>COUNTIF(CountryALL,D45)=0</formula>
    </cfRule>
  </conditionalFormatting>
  <conditionalFormatting sqref="E45">
    <cfRule type="expression" dxfId="62" priority="29">
      <formula>COUNTIF(Role_Code,E45)=0</formula>
    </cfRule>
  </conditionalFormatting>
  <conditionalFormatting sqref="J46">
    <cfRule type="containsText" dxfId="61" priority="28" operator="containsText" text="Error">
      <formula>NOT(ISERROR(SEARCH("Error",J46)))</formula>
    </cfRule>
  </conditionalFormatting>
  <conditionalFormatting sqref="C46">
    <cfRule type="cellIs" dxfId="60" priority="27" operator="equal">
      <formula>""</formula>
    </cfRule>
  </conditionalFormatting>
  <conditionalFormatting sqref="D46">
    <cfRule type="expression" dxfId="59" priority="26">
      <formula>COUNTIF(CountryALL,D46)=0</formula>
    </cfRule>
  </conditionalFormatting>
  <conditionalFormatting sqref="E46">
    <cfRule type="expression" dxfId="58" priority="25">
      <formula>COUNTIF(Role_Code,E46)=0</formula>
    </cfRule>
  </conditionalFormatting>
  <conditionalFormatting sqref="J47">
    <cfRule type="containsText" dxfId="57" priority="24" operator="containsText" text="Error">
      <formula>NOT(ISERROR(SEARCH("Error",J47)))</formula>
    </cfRule>
  </conditionalFormatting>
  <conditionalFormatting sqref="C47">
    <cfRule type="cellIs" dxfId="56" priority="23" operator="equal">
      <formula>""</formula>
    </cfRule>
  </conditionalFormatting>
  <conditionalFormatting sqref="D47">
    <cfRule type="expression" dxfId="55" priority="22">
      <formula>COUNTIF(CountryALL,D47)=0</formula>
    </cfRule>
  </conditionalFormatting>
  <conditionalFormatting sqref="E47">
    <cfRule type="expression" dxfId="54" priority="21">
      <formula>COUNTIF(Role_Code,E47)=0</formula>
    </cfRule>
  </conditionalFormatting>
  <conditionalFormatting sqref="J48">
    <cfRule type="containsText" dxfId="53" priority="20" operator="containsText" text="Error">
      <formula>NOT(ISERROR(SEARCH("Error",J48)))</formula>
    </cfRule>
  </conditionalFormatting>
  <conditionalFormatting sqref="C48">
    <cfRule type="cellIs" dxfId="52" priority="19" operator="equal">
      <formula>""</formula>
    </cfRule>
  </conditionalFormatting>
  <conditionalFormatting sqref="D48">
    <cfRule type="expression" dxfId="51" priority="18">
      <formula>COUNTIF(CountryALL,D48)=0</formula>
    </cfRule>
  </conditionalFormatting>
  <conditionalFormatting sqref="E48">
    <cfRule type="expression" dxfId="50" priority="17">
      <formula>COUNTIF(Role_Code,E48)=0</formula>
    </cfRule>
  </conditionalFormatting>
  <conditionalFormatting sqref="J49">
    <cfRule type="containsText" dxfId="49" priority="16" operator="containsText" text="Error">
      <formula>NOT(ISERROR(SEARCH("Error",J49)))</formula>
    </cfRule>
  </conditionalFormatting>
  <conditionalFormatting sqref="C49">
    <cfRule type="cellIs" dxfId="48" priority="15" operator="equal">
      <formula>""</formula>
    </cfRule>
  </conditionalFormatting>
  <conditionalFormatting sqref="D49">
    <cfRule type="expression" dxfId="47" priority="14">
      <formula>COUNTIF(CountryALL,D49)=0</formula>
    </cfRule>
  </conditionalFormatting>
  <conditionalFormatting sqref="E49">
    <cfRule type="expression" dxfId="46" priority="13">
      <formula>COUNTIF(Role_Code,E49)=0</formula>
    </cfRule>
  </conditionalFormatting>
  <conditionalFormatting sqref="J50">
    <cfRule type="containsText" dxfId="45" priority="12" operator="containsText" text="Error">
      <formula>NOT(ISERROR(SEARCH("Error",J50)))</formula>
    </cfRule>
  </conditionalFormatting>
  <conditionalFormatting sqref="C50">
    <cfRule type="cellIs" dxfId="44" priority="11" operator="equal">
      <formula>""</formula>
    </cfRule>
  </conditionalFormatting>
  <conditionalFormatting sqref="D50">
    <cfRule type="expression" dxfId="43" priority="10">
      <formula>COUNTIF(CountryALL,D50)=0</formula>
    </cfRule>
  </conditionalFormatting>
  <conditionalFormatting sqref="E50">
    <cfRule type="expression" dxfId="42" priority="9">
      <formula>COUNTIF(Role_Code,E50)=0</formula>
    </cfRule>
  </conditionalFormatting>
  <conditionalFormatting sqref="J51">
    <cfRule type="containsText" dxfId="41" priority="8" operator="containsText" text="Error">
      <formula>NOT(ISERROR(SEARCH("Error",J51)))</formula>
    </cfRule>
  </conditionalFormatting>
  <conditionalFormatting sqref="C51">
    <cfRule type="cellIs" dxfId="40" priority="7" operator="equal">
      <formula>""</formula>
    </cfRule>
  </conditionalFormatting>
  <conditionalFormatting sqref="D51">
    <cfRule type="expression" dxfId="39" priority="6">
      <formula>COUNTIF(CountryALL,D51)=0</formula>
    </cfRule>
  </conditionalFormatting>
  <conditionalFormatting sqref="E51">
    <cfRule type="expression" dxfId="38" priority="5">
      <formula>COUNTIF(Role_Code,E51)=0</formula>
    </cfRule>
  </conditionalFormatting>
  <conditionalFormatting sqref="J52">
    <cfRule type="containsText" dxfId="37" priority="4" operator="containsText" text="Error">
      <formula>NOT(ISERROR(SEARCH("Error",J52)))</formula>
    </cfRule>
  </conditionalFormatting>
  <conditionalFormatting sqref="C52">
    <cfRule type="cellIs" dxfId="36" priority="3" operator="equal">
      <formula>""</formula>
    </cfRule>
  </conditionalFormatting>
  <conditionalFormatting sqref="D52">
    <cfRule type="expression" dxfId="35" priority="2">
      <formula>COUNTIF(CountryALL,D52)=0</formula>
    </cfRule>
  </conditionalFormatting>
  <conditionalFormatting sqref="E52">
    <cfRule type="expression" dxfId="34" priority="1">
      <formula>COUNTIF(Role_Code,E52)=0</formula>
    </cfRule>
  </conditionalFormatting>
  <dataValidations count="5">
    <dataValidation type="list" allowBlank="1" showInputMessage="1" showErrorMessage="1" error="Please click arrow to select budget heading" prompt="Please click arrow to select budget heading" sqref="F9:F52">
      <formula1>BudgetHeadings</formula1>
    </dataValidation>
    <dataValidation type="custom" allowBlank="1" showInputMessage="1" showErrorMessage="1" error="Format error (2 decimals only)" prompt="Please encode amount (2 decimals only)" sqref="I9:I52">
      <formula1>I9=INT(I9*100)/100</formula1>
    </dataValidation>
    <dataValidation allowBlank="1" showInputMessage="1" showErrorMessage="1" error="Please encode the nature, type and specifications of the item" prompt="Please encode the nature, type and specifications of the item" sqref="H9:H52"/>
    <dataValidation allowBlank="1" showInputMessage="1" showErrorMessage="1" error="Please encode Source of Co-financing" prompt="Please encode Source of Co-financing" sqref="G9:G52"/>
    <dataValidation type="list" allowBlank="1" showInputMessage="1" showErrorMessage="1" error="Click arrow to select Partner n°" prompt="Click arrow to select Partner n°" sqref="B9:B52">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76" r:id="rId4" name="Button 1">
              <controlPr defaultSize="0" print="0" autoFill="0" autoPict="0" macro="[0]!AddRow">
                <anchor moveWithCells="1" sizeWithCells="1">
                  <from>
                    <xdr:col>1</xdr:col>
                    <xdr:colOff>38100</xdr:colOff>
                    <xdr:row>1</xdr:row>
                    <xdr:rowOff>57150</xdr:rowOff>
                  </from>
                  <to>
                    <xdr:col>1</xdr:col>
                    <xdr:colOff>1479550</xdr:colOff>
                    <xdr:row>1</xdr:row>
                    <xdr:rowOff>527050</xdr:rowOff>
                  </to>
                </anchor>
              </controlPr>
            </control>
          </mc:Choice>
        </mc:AlternateContent>
        <mc:AlternateContent xmlns:mc="http://schemas.openxmlformats.org/markup-compatibility/2006">
          <mc:Choice Requires="x14">
            <control shapeId="35877" r:id="rId5" name="Button 2">
              <controlPr defaultSize="0" print="0" autoFill="0" autoPict="0" macro="[0]!DeleteRow">
                <anchor moveWithCells="1" sizeWithCells="1">
                  <from>
                    <xdr:col>1</xdr:col>
                    <xdr:colOff>1524000</xdr:colOff>
                    <xdr:row>1</xdr:row>
                    <xdr:rowOff>57150</xdr:rowOff>
                  </from>
                  <to>
                    <xdr:col>1</xdr:col>
                    <xdr:colOff>2965450</xdr:colOff>
                    <xdr:row>1</xdr:row>
                    <xdr:rowOff>527050</xdr:rowOff>
                  </to>
                </anchor>
              </controlPr>
            </control>
          </mc:Choice>
        </mc:AlternateContent>
        <mc:AlternateContent xmlns:mc="http://schemas.openxmlformats.org/markup-compatibility/2006">
          <mc:Choice Requires="x14">
            <control shapeId="35878" r:id="rId6" name="Button 3">
              <controlPr defaultSize="0" print="0" autoFill="0" autoPict="0" macro="[0]!DuplicateRow">
                <anchor moveWithCells="1">
                  <from>
                    <xdr:col>1</xdr:col>
                    <xdr:colOff>3009900</xdr:colOff>
                    <xdr:row>1</xdr:row>
                    <xdr:rowOff>57150</xdr:rowOff>
                  </from>
                  <to>
                    <xdr:col>2</xdr:col>
                    <xdr:colOff>876300</xdr:colOff>
                    <xdr:row>1</xdr:row>
                    <xdr:rowOff>527050</xdr:rowOff>
                  </to>
                </anchor>
              </controlPr>
            </control>
          </mc:Choice>
        </mc:AlternateContent>
        <mc:AlternateContent xmlns:mc="http://schemas.openxmlformats.org/markup-compatibility/2006">
          <mc:Choice Requires="x14">
            <control shapeId="35879" r:id="rId7" name="Button 39">
              <controlPr defaultSize="0" print="0" autoFill="0" autoPict="0" macro="[0]!Export_Cofinancing">
                <anchor moveWithCells="1">
                  <from>
                    <xdr:col>2</xdr:col>
                    <xdr:colOff>914400</xdr:colOff>
                    <xdr:row>1</xdr:row>
                    <xdr:rowOff>57150</xdr:rowOff>
                  </from>
                  <to>
                    <xdr:col>2</xdr:col>
                    <xdr:colOff>2343150</xdr:colOff>
                    <xdr:row>1</xdr:row>
                    <xdr:rowOff>527050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U76"/>
  <sheetViews>
    <sheetView showGridLines="0" topLeftCell="B2" zoomScale="60" zoomScaleNormal="60" zoomScaleSheetLayoutView="40" workbookViewId="0">
      <selection activeCell="B2" sqref="B2:U2"/>
    </sheetView>
  </sheetViews>
  <sheetFormatPr baseColWidth="10" defaultColWidth="9.1796875" defaultRowHeight="18" x14ac:dyDescent="0.4"/>
  <cols>
    <col min="1" max="1" width="1.7265625" style="5" customWidth="1"/>
    <col min="2" max="2" width="33" style="5" bestFit="1" customWidth="1"/>
    <col min="3" max="21" width="20.7265625" style="5" customWidth="1"/>
    <col min="22" max="22" width="1.453125" style="5" customWidth="1"/>
    <col min="23" max="16384" width="9.1796875" style="5"/>
  </cols>
  <sheetData>
    <row r="1" spans="2:21" ht="5.15" customHeight="1" x14ac:dyDescent="0.4"/>
    <row r="2" spans="2:21" s="8" customFormat="1" ht="30" customHeight="1" x14ac:dyDescent="0.4">
      <c r="B2" s="330" t="s">
        <v>159</v>
      </c>
      <c r="C2" s="330"/>
      <c r="D2" s="330"/>
      <c r="E2" s="330"/>
      <c r="F2" s="330"/>
      <c r="G2" s="330"/>
      <c r="H2" s="330"/>
      <c r="I2" s="330"/>
      <c r="J2" s="330"/>
      <c r="K2" s="330"/>
      <c r="L2" s="330"/>
      <c r="M2" s="330"/>
      <c r="N2" s="330"/>
      <c r="O2" s="330"/>
      <c r="P2" s="330"/>
      <c r="Q2" s="330"/>
      <c r="R2" s="330"/>
      <c r="S2" s="330"/>
      <c r="T2" s="330"/>
      <c r="U2" s="330"/>
    </row>
    <row r="3" spans="2:21" s="145" customFormat="1" ht="36" customHeight="1" x14ac:dyDescent="0.35">
      <c r="B3" s="207" t="s">
        <v>151</v>
      </c>
      <c r="C3" s="331" t="s">
        <v>168</v>
      </c>
      <c r="D3" s="332"/>
      <c r="E3" s="333"/>
      <c r="F3" s="331" t="s">
        <v>169</v>
      </c>
      <c r="G3" s="332"/>
      <c r="H3" s="333"/>
      <c r="I3" s="331" t="s">
        <v>175</v>
      </c>
      <c r="J3" s="332"/>
      <c r="K3" s="333"/>
      <c r="L3" s="331" t="s">
        <v>176</v>
      </c>
      <c r="M3" s="332"/>
      <c r="N3" s="333"/>
      <c r="O3" s="331" t="s">
        <v>177</v>
      </c>
      <c r="P3" s="332"/>
      <c r="Q3" s="333"/>
      <c r="R3" s="331" t="s">
        <v>372</v>
      </c>
      <c r="S3" s="332"/>
      <c r="T3" s="333"/>
      <c r="U3" s="334" t="s">
        <v>217</v>
      </c>
    </row>
    <row r="4" spans="2:21" s="145" customFormat="1" x14ac:dyDescent="0.35">
      <c r="B4" s="207"/>
      <c r="C4" s="211" t="s">
        <v>471</v>
      </c>
      <c r="D4" s="211" t="s">
        <v>415</v>
      </c>
      <c r="E4" s="211" t="s">
        <v>472</v>
      </c>
      <c r="F4" s="211" t="s">
        <v>471</v>
      </c>
      <c r="G4" s="211" t="s">
        <v>415</v>
      </c>
      <c r="H4" s="211" t="s">
        <v>472</v>
      </c>
      <c r="I4" s="211" t="s">
        <v>471</v>
      </c>
      <c r="J4" s="211" t="s">
        <v>415</v>
      </c>
      <c r="K4" s="211" t="s">
        <v>472</v>
      </c>
      <c r="L4" s="211" t="s">
        <v>471</v>
      </c>
      <c r="M4" s="211" t="s">
        <v>415</v>
      </c>
      <c r="N4" s="211" t="s">
        <v>472</v>
      </c>
      <c r="O4" s="211" t="s">
        <v>471</v>
      </c>
      <c r="P4" s="211" t="s">
        <v>415</v>
      </c>
      <c r="Q4" s="211" t="s">
        <v>472</v>
      </c>
      <c r="R4" s="211" t="s">
        <v>471</v>
      </c>
      <c r="S4" s="211" t="s">
        <v>415</v>
      </c>
      <c r="T4" s="211" t="s">
        <v>472</v>
      </c>
      <c r="U4" s="335"/>
    </row>
    <row r="5" spans="2:21" x14ac:dyDescent="0.4">
      <c r="B5" s="11" t="str">
        <f>Rates!J3</f>
        <v>Preparation</v>
      </c>
      <c r="C5" s="182">
        <f>SUMIFS('1. Staff Costs'!P:P,'1. Staff Costs'!B:B,B5,'1. Staff Costs'!F:F,$C$4,'1. Staff Costs'!Q:Q,"&lt;&gt;Error")</f>
        <v>1070</v>
      </c>
      <c r="D5" s="182">
        <f>SUMIFS('1. Staff Costs'!P:P,'1. Staff Costs'!B:B,B5,'1. Staff Costs'!F:F,$D$4,'1. Staff Costs'!Q:Q,"&lt;&gt;Error")</f>
        <v>5081</v>
      </c>
      <c r="E5" s="182">
        <f>SUMIFS('1. Staff Costs'!P:P,'1. Staff Costs'!B:B,B5,'1. Staff Costs'!F:F,"*Aff. Partner*",'1. Staff Costs'!Q:Q,"&lt;&gt;Error")</f>
        <v>0</v>
      </c>
      <c r="F5" s="182">
        <f>SUMIFS('2-3-6. Travel Costs&amp;CoS&amp;EC'!U:U,'2-3-6. Travel Costs&amp;CoS&amp;EC'!B:B,B5,'2-3-6. Travel Costs&amp;CoS&amp;EC'!F:F,$F$4,'2-3-6. Travel Costs&amp;CoS&amp;EC'!Y:Y,1,'2-3-6. Travel Costs&amp;CoS&amp;EC'!X:X,"&lt;&gt;Error")</f>
        <v>0</v>
      </c>
      <c r="G5" s="182">
        <f>SUMIFS('2-3-6. Travel Costs&amp;CoS&amp;EC'!U:U,'2-3-6. Travel Costs&amp;CoS&amp;EC'!B:B,B5,'2-3-6. Travel Costs&amp;CoS&amp;EC'!F:F,$G$4,'2-3-6. Travel Costs&amp;CoS&amp;EC'!Y:Y,1,'2-3-6. Travel Costs&amp;CoS&amp;EC'!X:X,"&lt;&gt;Error")</f>
        <v>0</v>
      </c>
      <c r="H5" s="182">
        <f>SUMIFS('2-3-6. Travel Costs&amp;CoS&amp;EC'!U:U,'2-3-6. Travel Costs&amp;CoS&amp;EC'!B:B,B5,'2-3-6. Travel Costs&amp;CoS&amp;EC'!F:F,"*Aff. Partner*",'2-3-6. Travel Costs&amp;CoS&amp;EC'!Y:Y,1,'2-3-6. Travel Costs&amp;CoS&amp;EC'!X:X,"&lt;&gt;Error")</f>
        <v>0</v>
      </c>
      <c r="I5" s="182">
        <f>SUMIFS('2-3-6. Travel Costs&amp;CoS&amp;EC'!V:V,'2-3-6. Travel Costs&amp;CoS&amp;EC'!B:B,B5,'2-3-6. Travel Costs&amp;CoS&amp;EC'!F:F,$I$4,'2-3-6. Travel Costs&amp;CoS&amp;EC'!X:X,"&lt;&gt;Error")</f>
        <v>0</v>
      </c>
      <c r="J5" s="182">
        <f>SUMIFS('2-3-6. Travel Costs&amp;CoS&amp;EC'!V:V,'2-3-6. Travel Costs&amp;CoS&amp;EC'!B:B,B5,'2-3-6. Travel Costs&amp;CoS&amp;EC'!F:F,$J$4,'2-3-6. Travel Costs&amp;CoS&amp;EC'!X:X,"&lt;&gt;Error")</f>
        <v>0</v>
      </c>
      <c r="K5" s="182">
        <f>SUMIFS('2-3-6. Travel Costs&amp;CoS&amp;EC'!V:V,'2-3-6. Travel Costs&amp;CoS&amp;EC'!B:B,B5,'2-3-6. Travel Costs&amp;CoS&amp;EC'!F:F,"*Aff. Partner*",'2-3-6. Travel Costs&amp;CoS&amp;EC'!X:X,"&lt;&gt;Error")</f>
        <v>0</v>
      </c>
      <c r="L5" s="182">
        <f>SUMIFS('4. Equipment Costs'!R:R,'4. Equipment Costs'!B:B,B5,'4. Equipment Costs'!F:F,$L$4,'4. Equipment Costs'!S:S,"&lt;&gt;Error")</f>
        <v>0</v>
      </c>
      <c r="M5" s="182">
        <f>SUMIFS('4. Equipment Costs'!R:R,'4. Equipment Costs'!B:B,B5,'4. Equipment Costs'!F:F,$M$4,'4. Equipment Costs'!S:S,"&lt;&gt;Error")</f>
        <v>1210.1600000000001</v>
      </c>
      <c r="N5" s="182">
        <f>SUMIFS('4. Equipment Costs'!R:R,'4. Equipment Costs'!B:B,B5,'4. Equipment Costs'!F:F,"*Aff. Partner*",'4. Equipment Costs'!S:S,"&lt;&gt;Error")</f>
        <v>0</v>
      </c>
      <c r="O5" s="182">
        <f>SUMIFS('5. Subcontracting Costs'!R:R,'5. Subcontracting Costs'!B:B,B5,'5. Subcontracting Costs'!F:F,$O$4,'5. Subcontracting Costs'!S:S,"&lt;&gt;Error")</f>
        <v>0</v>
      </c>
      <c r="P5" s="182">
        <f>SUMIFS('5. Subcontracting Costs'!R:R,'5. Subcontracting Costs'!B:B,B5,'5. Subcontracting Costs'!F:F,$P$4,'5. Subcontracting Costs'!S:S,"&lt;&gt;Error")</f>
        <v>0</v>
      </c>
      <c r="Q5" s="182">
        <f>SUMIFS('5. Subcontracting Costs'!R:R,'5. Subcontracting Costs'!B:B,B5,'5. Subcontracting Costs'!F:F,"*Aff. Partner*",'5. Subcontracting Costs'!S:S,"&lt;&gt;Error")</f>
        <v>0</v>
      </c>
      <c r="R5" s="182">
        <f>SUMIFS('2-3-6. Travel Costs&amp;CoS&amp;EC'!U:U,'2-3-6. Travel Costs&amp;CoS&amp;EC'!B:B,B5,'2-3-6. Travel Costs&amp;CoS&amp;EC'!F:F,$R$4,'2-3-6. Travel Costs&amp;CoS&amp;EC'!Y:Y,2,'2-3-6. Travel Costs&amp;CoS&amp;EC'!X:X,"&lt;&gt;Error")</f>
        <v>0</v>
      </c>
      <c r="S5" s="182">
        <f>SUMIFS('2-3-6. Travel Costs&amp;CoS&amp;EC'!U:U,'2-3-6. Travel Costs&amp;CoS&amp;EC'!B:B,B5,'2-3-6. Travel Costs&amp;CoS&amp;EC'!F:F,$S$4,'2-3-6. Travel Costs&amp;CoS&amp;EC'!Y:Y,2,'2-3-6. Travel Costs&amp;CoS&amp;EC'!X:X,"&lt;&gt;Error")</f>
        <v>0</v>
      </c>
      <c r="T5" s="182">
        <f>SUMIFS('2-3-6. Travel Costs&amp;CoS&amp;EC'!U:U,'2-3-6. Travel Costs&amp;CoS&amp;EC'!B:B,B5,'2-3-6. Travel Costs&amp;CoS&amp;EC'!F:F,"*Aff. Partner*",'2-3-6. Travel Costs&amp;CoS&amp;EC'!Y:Y,2,'2-3-6. Travel Costs&amp;CoS&amp;EC'!X:X,"&lt;&gt;Error")</f>
        <v>0</v>
      </c>
      <c r="U5" s="183">
        <f>SUM(C5:T5)</f>
        <v>7361.16</v>
      </c>
    </row>
    <row r="6" spans="2:21" ht="16.5" customHeight="1" x14ac:dyDescent="0.4">
      <c r="B6" s="11" t="str">
        <f>Rates!J4</f>
        <v>Development</v>
      </c>
      <c r="C6" s="182">
        <f>SUMIFS('1. Staff Costs'!P:P,'1. Staff Costs'!B:B,B6,'1. Staff Costs'!F:F,$C$4,'1. Staff Costs'!Q:Q,"&lt;&gt;Error")</f>
        <v>3424</v>
      </c>
      <c r="D6" s="182">
        <f>SUMIFS('1. Staff Costs'!P:P,'1. Staff Costs'!B:B,B6,'1. Staff Costs'!F:F,$D$4,'1. Staff Costs'!Q:Q,"&lt;&gt;Error")</f>
        <v>19961</v>
      </c>
      <c r="E6" s="182">
        <f>SUMIFS('1. Staff Costs'!P:P,'1. Staff Costs'!B:B,B6,'1. Staff Costs'!F:F,"*Aff. Partner*",'1. Staff Costs'!Q:Q,"&lt;&gt;Error")</f>
        <v>0</v>
      </c>
      <c r="F6" s="182">
        <f>SUMIFS('2-3-6. Travel Costs&amp;CoS&amp;EC'!U:U,'2-3-6. Travel Costs&amp;CoS&amp;EC'!B:B,B6,'2-3-6. Travel Costs&amp;CoS&amp;EC'!F:F,$F$4,'2-3-6. Travel Costs&amp;CoS&amp;EC'!Y:Y,1,'2-3-6. Travel Costs&amp;CoS&amp;EC'!X:X,"&lt;&gt;Error")</f>
        <v>0</v>
      </c>
      <c r="G6" s="182">
        <f>SUMIFS('2-3-6. Travel Costs&amp;CoS&amp;EC'!U:U,'2-3-6. Travel Costs&amp;CoS&amp;EC'!B:B,B6,'2-3-6. Travel Costs&amp;CoS&amp;EC'!F:F,$G$4,'2-3-6. Travel Costs&amp;CoS&amp;EC'!Y:Y,1,'2-3-6. Travel Costs&amp;CoS&amp;EC'!X:X,"&lt;&gt;Error")</f>
        <v>0</v>
      </c>
      <c r="H6" s="182">
        <f>SUMIFS('2-3-6. Travel Costs&amp;CoS&amp;EC'!U:U,'2-3-6. Travel Costs&amp;CoS&amp;EC'!B:B,B6,'2-3-6. Travel Costs&amp;CoS&amp;EC'!F:F,"*Aff. Partner*",'2-3-6. Travel Costs&amp;CoS&amp;EC'!Y:Y,1,'2-3-6. Travel Costs&amp;CoS&amp;EC'!X:X,"&lt;&gt;Error")</f>
        <v>0</v>
      </c>
      <c r="I6" s="182">
        <f>SUMIFS('2-3-6. Travel Costs&amp;CoS&amp;EC'!V:V,'2-3-6. Travel Costs&amp;CoS&amp;EC'!B:B,B6,'2-3-6. Travel Costs&amp;CoS&amp;EC'!F:F,$I$4,'2-3-6. Travel Costs&amp;CoS&amp;EC'!X:X,"&lt;&gt;Error")</f>
        <v>0</v>
      </c>
      <c r="J6" s="182">
        <f>SUMIFS('2-3-6. Travel Costs&amp;CoS&amp;EC'!V:V,'2-3-6. Travel Costs&amp;CoS&amp;EC'!B:B,B6,'2-3-6. Travel Costs&amp;CoS&amp;EC'!F:F,$J$4,'2-3-6. Travel Costs&amp;CoS&amp;EC'!X:X,"&lt;&gt;Error")</f>
        <v>0</v>
      </c>
      <c r="K6" s="182">
        <f>SUMIFS('2-3-6. Travel Costs&amp;CoS&amp;EC'!V:V,'2-3-6. Travel Costs&amp;CoS&amp;EC'!B:B,B6,'2-3-6. Travel Costs&amp;CoS&amp;EC'!F:F,"*Aff. Partner*",'2-3-6. Travel Costs&amp;CoS&amp;EC'!X:X,"&lt;&gt;Error")</f>
        <v>0</v>
      </c>
      <c r="L6" s="182">
        <f>SUMIFS('4. Equipment Costs'!R:R,'4. Equipment Costs'!B:B,B6,'4. Equipment Costs'!F:F,$L$4,'4. Equipment Costs'!S:S,"&lt;&gt;Error")</f>
        <v>0</v>
      </c>
      <c r="M6" s="182">
        <f>SUMIFS('4. Equipment Costs'!R:R,'4. Equipment Costs'!B:B,B6,'4. Equipment Costs'!F:F,$M$4,'4. Equipment Costs'!S:S,"&lt;&gt;Error")</f>
        <v>128500.06</v>
      </c>
      <c r="N6" s="182">
        <f>SUMIFS('4. Equipment Costs'!R:R,'4. Equipment Costs'!B:B,B6,'4. Equipment Costs'!F:F,"*Aff. Partner*",'4. Equipment Costs'!S:S,"&lt;&gt;Error")</f>
        <v>0</v>
      </c>
      <c r="O6" s="182">
        <f>SUMIFS('5. Subcontracting Costs'!R:R,'5. Subcontracting Costs'!B:B,B6,'5. Subcontracting Costs'!F:F,$O$4,'5. Subcontracting Costs'!S:S,"&lt;&gt;Error")</f>
        <v>0</v>
      </c>
      <c r="P6" s="182">
        <f>SUMIFS('5. Subcontracting Costs'!R:R,'5. Subcontracting Costs'!B:B,B6,'5. Subcontracting Costs'!F:F,$P$4,'5. Subcontracting Costs'!S:S,"&lt;&gt;Error")</f>
        <v>9604.94</v>
      </c>
      <c r="Q6" s="182">
        <f>SUMIFS('5. Subcontracting Costs'!R:R,'5. Subcontracting Costs'!B:B,B6,'5. Subcontracting Costs'!F:F,"*Aff. Partner*",'5. Subcontracting Costs'!S:S,"&lt;&gt;Error")</f>
        <v>0</v>
      </c>
      <c r="R6" s="182">
        <f>SUMIFS('2-3-6. Travel Costs&amp;CoS&amp;EC'!U:U,'2-3-6. Travel Costs&amp;CoS&amp;EC'!B:B,B6,'2-3-6. Travel Costs&amp;CoS&amp;EC'!F:F,$R$4,'2-3-6. Travel Costs&amp;CoS&amp;EC'!Y:Y,2,'2-3-6. Travel Costs&amp;CoS&amp;EC'!X:X,"&lt;&gt;Error")</f>
        <v>0</v>
      </c>
      <c r="S6" s="182">
        <f>SUMIFS('2-3-6. Travel Costs&amp;CoS&amp;EC'!U:U,'2-3-6. Travel Costs&amp;CoS&amp;EC'!B:B,B6,'2-3-6. Travel Costs&amp;CoS&amp;EC'!F:F,$S$4,'2-3-6. Travel Costs&amp;CoS&amp;EC'!Y:Y,2,'2-3-6. Travel Costs&amp;CoS&amp;EC'!X:X,"&lt;&gt;Error")</f>
        <v>0</v>
      </c>
      <c r="T6" s="182">
        <f>SUMIFS('2-3-6. Travel Costs&amp;CoS&amp;EC'!U:U,'2-3-6. Travel Costs&amp;CoS&amp;EC'!B:B,B6,'2-3-6. Travel Costs&amp;CoS&amp;EC'!F:F,"*Aff. Partner*",'2-3-6. Travel Costs&amp;CoS&amp;EC'!Y:Y,2,'2-3-6. Travel Costs&amp;CoS&amp;EC'!X:X,"&lt;&gt;Error")</f>
        <v>0</v>
      </c>
      <c r="U6" s="183">
        <f t="shared" ref="U6:U9" si="0">SUM(C6:T6)</f>
        <v>161490</v>
      </c>
    </row>
    <row r="7" spans="2:21" ht="16.5" customHeight="1" x14ac:dyDescent="0.4">
      <c r="B7" s="11" t="str">
        <f>Rates!J5</f>
        <v>Quality Plan</v>
      </c>
      <c r="C7" s="182">
        <f>SUMIFS('1. Staff Costs'!P:P,'1. Staff Costs'!B:B,B7,'1. Staff Costs'!F:F,$C$4,'1. Staff Costs'!Q:Q,"&lt;&gt;Error")</f>
        <v>1070</v>
      </c>
      <c r="D7" s="182">
        <f>SUMIFS('1. Staff Costs'!P:P,'1. Staff Costs'!B:B,B7,'1. Staff Costs'!F:F,$D$4,'1. Staff Costs'!Q:Q,"&lt;&gt;Error")</f>
        <v>6530</v>
      </c>
      <c r="E7" s="182">
        <f>SUMIFS('1. Staff Costs'!P:P,'1. Staff Costs'!B:B,B7,'1. Staff Costs'!F:F,"*Aff. Partner*",'1. Staff Costs'!Q:Q,"&lt;&gt;Error")</f>
        <v>0</v>
      </c>
      <c r="F7" s="182">
        <f>SUMIFS('2-3-6. Travel Costs&amp;CoS&amp;EC'!U:U,'2-3-6. Travel Costs&amp;CoS&amp;EC'!B:B,B7,'2-3-6. Travel Costs&amp;CoS&amp;EC'!F:F,$F$4,'2-3-6. Travel Costs&amp;CoS&amp;EC'!Y:Y,1,'2-3-6. Travel Costs&amp;CoS&amp;EC'!X:X,"&lt;&gt;Error")</f>
        <v>0</v>
      </c>
      <c r="G7" s="182">
        <f>SUMIFS('2-3-6. Travel Costs&amp;CoS&amp;EC'!U:U,'2-3-6. Travel Costs&amp;CoS&amp;EC'!B:B,B7,'2-3-6. Travel Costs&amp;CoS&amp;EC'!F:F,$G$4,'2-3-6. Travel Costs&amp;CoS&amp;EC'!Y:Y,1,'2-3-6. Travel Costs&amp;CoS&amp;EC'!X:X,"&lt;&gt;Error")</f>
        <v>0</v>
      </c>
      <c r="H7" s="182">
        <f>SUMIFS('2-3-6. Travel Costs&amp;CoS&amp;EC'!U:U,'2-3-6. Travel Costs&amp;CoS&amp;EC'!B:B,B7,'2-3-6. Travel Costs&amp;CoS&amp;EC'!F:F,"*Aff. Partner*",'2-3-6. Travel Costs&amp;CoS&amp;EC'!Y:Y,1,'2-3-6. Travel Costs&amp;CoS&amp;EC'!X:X,"&lt;&gt;Error")</f>
        <v>0</v>
      </c>
      <c r="I7" s="182">
        <f>SUMIFS('2-3-6. Travel Costs&amp;CoS&amp;EC'!V:V,'2-3-6. Travel Costs&amp;CoS&amp;EC'!B:B,B7,'2-3-6. Travel Costs&amp;CoS&amp;EC'!F:F,$I$4,'2-3-6. Travel Costs&amp;CoS&amp;EC'!X:X,"&lt;&gt;Error")</f>
        <v>0</v>
      </c>
      <c r="J7" s="182">
        <f>SUMIFS('2-3-6. Travel Costs&amp;CoS&amp;EC'!V:V,'2-3-6. Travel Costs&amp;CoS&amp;EC'!B:B,B7,'2-3-6. Travel Costs&amp;CoS&amp;EC'!F:F,$J$4,'2-3-6. Travel Costs&amp;CoS&amp;EC'!X:X,"&lt;&gt;Error")</f>
        <v>0</v>
      </c>
      <c r="K7" s="182">
        <f>SUMIFS('2-3-6. Travel Costs&amp;CoS&amp;EC'!V:V,'2-3-6. Travel Costs&amp;CoS&amp;EC'!B:B,B7,'2-3-6. Travel Costs&amp;CoS&amp;EC'!F:F,"*Aff. Partner*",'2-3-6. Travel Costs&amp;CoS&amp;EC'!X:X,"&lt;&gt;Error")</f>
        <v>0</v>
      </c>
      <c r="L7" s="182">
        <f>SUMIFS('4. Equipment Costs'!R:R,'4. Equipment Costs'!B:B,B7,'4. Equipment Costs'!F:F,$L$4,'4. Equipment Costs'!S:S,"&lt;&gt;Error")</f>
        <v>0</v>
      </c>
      <c r="M7" s="182">
        <f>SUMIFS('4. Equipment Costs'!R:R,'4. Equipment Costs'!B:B,B7,'4. Equipment Costs'!F:F,$M$4,'4. Equipment Costs'!S:S,"&lt;&gt;Error")</f>
        <v>0</v>
      </c>
      <c r="N7" s="182">
        <f>SUMIFS('4. Equipment Costs'!R:R,'4. Equipment Costs'!B:B,B7,'4. Equipment Costs'!F:F,"*Aff. Partner*",'4. Equipment Costs'!S:S,"&lt;&gt;Error")</f>
        <v>0</v>
      </c>
      <c r="O7" s="182">
        <f>SUMIFS('5. Subcontracting Costs'!R:R,'5. Subcontracting Costs'!B:B,B7,'5. Subcontracting Costs'!F:F,$O$4,'5. Subcontracting Costs'!S:S,"&lt;&gt;Error")</f>
        <v>0</v>
      </c>
      <c r="P7" s="182">
        <f>SUMIFS('5. Subcontracting Costs'!R:R,'5. Subcontracting Costs'!B:B,B7,'5. Subcontracting Costs'!F:F,$P$4,'5. Subcontracting Costs'!S:S,"&lt;&gt;Error")</f>
        <v>0</v>
      </c>
      <c r="Q7" s="182">
        <f>SUMIFS('5. Subcontracting Costs'!R:R,'5. Subcontracting Costs'!B:B,B7,'5. Subcontracting Costs'!F:F,"*Aff. Partner*",'5. Subcontracting Costs'!S:S,"&lt;&gt;Error")</f>
        <v>0</v>
      </c>
      <c r="R7" s="182">
        <f>SUMIFS('2-3-6. Travel Costs&amp;CoS&amp;EC'!U:U,'2-3-6. Travel Costs&amp;CoS&amp;EC'!B:B,B7,'2-3-6. Travel Costs&amp;CoS&amp;EC'!F:F,$R$4,'2-3-6. Travel Costs&amp;CoS&amp;EC'!Y:Y,2,'2-3-6. Travel Costs&amp;CoS&amp;EC'!X:X,"&lt;&gt;Error")</f>
        <v>0</v>
      </c>
      <c r="S7" s="182">
        <f>SUMIFS('2-3-6. Travel Costs&amp;CoS&amp;EC'!U:U,'2-3-6. Travel Costs&amp;CoS&amp;EC'!B:B,B7,'2-3-6. Travel Costs&amp;CoS&amp;EC'!F:F,$S$4,'2-3-6. Travel Costs&amp;CoS&amp;EC'!Y:Y,2,'2-3-6. Travel Costs&amp;CoS&amp;EC'!X:X,"&lt;&gt;Error")</f>
        <v>0</v>
      </c>
      <c r="T7" s="182">
        <f>SUMIFS('2-3-6. Travel Costs&amp;CoS&amp;EC'!U:U,'2-3-6. Travel Costs&amp;CoS&amp;EC'!B:B,B7,'2-3-6. Travel Costs&amp;CoS&amp;EC'!F:F,"*Aff. Partner*",'2-3-6. Travel Costs&amp;CoS&amp;EC'!Y:Y,2,'2-3-6. Travel Costs&amp;CoS&amp;EC'!X:X,"&lt;&gt;Error")</f>
        <v>0</v>
      </c>
      <c r="U7" s="183">
        <f t="shared" si="0"/>
        <v>7600</v>
      </c>
    </row>
    <row r="8" spans="2:21" ht="16.5" customHeight="1" x14ac:dyDescent="0.4">
      <c r="B8" s="11" t="str">
        <f>Rates!J6</f>
        <v>Dissemination &amp; Exploitation</v>
      </c>
      <c r="C8" s="182">
        <f>SUMIFS('1. Staff Costs'!P:P,'1. Staff Costs'!B:B,B8,'1. Staff Costs'!F:F,$C$4,'1. Staff Costs'!Q:Q,"&lt;&gt;Error")</f>
        <v>3424</v>
      </c>
      <c r="D8" s="182">
        <f>SUMIFS('1. Staff Costs'!P:P,'1. Staff Costs'!B:B,B8,'1. Staff Costs'!F:F,$D$4,'1. Staff Costs'!Q:Q,"&lt;&gt;Error")</f>
        <v>8787</v>
      </c>
      <c r="E8" s="182">
        <f>SUMIFS('1. Staff Costs'!P:P,'1. Staff Costs'!B:B,B8,'1. Staff Costs'!F:F,"*Aff. Partner*",'1. Staff Costs'!Q:Q,"&lt;&gt;Error")</f>
        <v>0</v>
      </c>
      <c r="F8" s="182">
        <f>SUMIFS('2-3-6. Travel Costs&amp;CoS&amp;EC'!U:U,'2-3-6. Travel Costs&amp;CoS&amp;EC'!B:B,B8,'2-3-6. Travel Costs&amp;CoS&amp;EC'!F:F,$F$4,'2-3-6. Travel Costs&amp;CoS&amp;EC'!Y:Y,1,'2-3-6. Travel Costs&amp;CoS&amp;EC'!X:X,"&lt;&gt;Error")</f>
        <v>0</v>
      </c>
      <c r="G8" s="182">
        <f>SUMIFS('2-3-6. Travel Costs&amp;CoS&amp;EC'!U:U,'2-3-6. Travel Costs&amp;CoS&amp;EC'!B:B,B8,'2-3-6. Travel Costs&amp;CoS&amp;EC'!F:F,$G$4,'2-3-6. Travel Costs&amp;CoS&amp;EC'!Y:Y,1,'2-3-6. Travel Costs&amp;CoS&amp;EC'!X:X,"&lt;&gt;Error")</f>
        <v>0</v>
      </c>
      <c r="H8" s="182">
        <f>SUMIFS('2-3-6. Travel Costs&amp;CoS&amp;EC'!U:U,'2-3-6. Travel Costs&amp;CoS&amp;EC'!B:B,B8,'2-3-6. Travel Costs&amp;CoS&amp;EC'!F:F,"*Aff. Partner*",'2-3-6. Travel Costs&amp;CoS&amp;EC'!Y:Y,1,'2-3-6. Travel Costs&amp;CoS&amp;EC'!X:X,"&lt;&gt;Error")</f>
        <v>0</v>
      </c>
      <c r="I8" s="182">
        <f>SUMIFS('2-3-6. Travel Costs&amp;CoS&amp;EC'!V:V,'2-3-6. Travel Costs&amp;CoS&amp;EC'!B:B,B8,'2-3-6. Travel Costs&amp;CoS&amp;EC'!F:F,$I$4,'2-3-6. Travel Costs&amp;CoS&amp;EC'!X:X,"&lt;&gt;Error")</f>
        <v>0</v>
      </c>
      <c r="J8" s="182">
        <f>SUMIFS('2-3-6. Travel Costs&amp;CoS&amp;EC'!V:V,'2-3-6. Travel Costs&amp;CoS&amp;EC'!B:B,B8,'2-3-6. Travel Costs&amp;CoS&amp;EC'!F:F,$J$4,'2-3-6. Travel Costs&amp;CoS&amp;EC'!X:X,"&lt;&gt;Error")</f>
        <v>0</v>
      </c>
      <c r="K8" s="182">
        <f>SUMIFS('2-3-6. Travel Costs&amp;CoS&amp;EC'!V:V,'2-3-6. Travel Costs&amp;CoS&amp;EC'!B:B,B8,'2-3-6. Travel Costs&amp;CoS&amp;EC'!F:F,"*Aff. Partner*",'2-3-6. Travel Costs&amp;CoS&amp;EC'!X:X,"&lt;&gt;Error")</f>
        <v>0</v>
      </c>
      <c r="L8" s="182">
        <f>SUMIFS('4. Equipment Costs'!R:R,'4. Equipment Costs'!B:B,B8,'4. Equipment Costs'!F:F,$L$4,'4. Equipment Costs'!S:S,"&lt;&gt;Error")</f>
        <v>0</v>
      </c>
      <c r="M8" s="182">
        <f>SUMIFS('4. Equipment Costs'!R:R,'4. Equipment Costs'!B:B,B8,'4. Equipment Costs'!F:F,$M$4,'4. Equipment Costs'!S:S,"&lt;&gt;Error")</f>
        <v>0</v>
      </c>
      <c r="N8" s="182">
        <f>SUMIFS('4. Equipment Costs'!R:R,'4. Equipment Costs'!B:B,B8,'4. Equipment Costs'!F:F,"*Aff. Partner*",'4. Equipment Costs'!S:S,"&lt;&gt;Error")</f>
        <v>0</v>
      </c>
      <c r="O8" s="182">
        <f>SUMIFS('5. Subcontracting Costs'!R:R,'5. Subcontracting Costs'!B:B,B8,'5. Subcontracting Costs'!F:F,$O$4,'5. Subcontracting Costs'!S:S,"&lt;&gt;Error")</f>
        <v>9050</v>
      </c>
      <c r="P8" s="182">
        <f>SUMIFS('5. Subcontracting Costs'!R:R,'5. Subcontracting Costs'!B:B,B8,'5. Subcontracting Costs'!F:F,$P$4,'5. Subcontracting Costs'!S:S,"&lt;&gt;Error")</f>
        <v>0</v>
      </c>
      <c r="Q8" s="182">
        <f>SUMIFS('5. Subcontracting Costs'!R:R,'5. Subcontracting Costs'!B:B,B8,'5. Subcontracting Costs'!F:F,"*Aff. Partner*",'5. Subcontracting Costs'!S:S,"&lt;&gt;Error")</f>
        <v>0</v>
      </c>
      <c r="R8" s="182">
        <f>SUMIFS('2-3-6. Travel Costs&amp;CoS&amp;EC'!U:U,'2-3-6. Travel Costs&amp;CoS&amp;EC'!B:B,B8,'2-3-6. Travel Costs&amp;CoS&amp;EC'!F:F,$R$4,'2-3-6. Travel Costs&amp;CoS&amp;EC'!Y:Y,2,'2-3-6. Travel Costs&amp;CoS&amp;EC'!X:X,"&lt;&gt;Error")</f>
        <v>0</v>
      </c>
      <c r="S8" s="182">
        <f>SUMIFS('2-3-6. Travel Costs&amp;CoS&amp;EC'!U:U,'2-3-6. Travel Costs&amp;CoS&amp;EC'!B:B,B8,'2-3-6. Travel Costs&amp;CoS&amp;EC'!F:F,$S$4,'2-3-6. Travel Costs&amp;CoS&amp;EC'!Y:Y,2,'2-3-6. Travel Costs&amp;CoS&amp;EC'!X:X,"&lt;&gt;Error")</f>
        <v>0</v>
      </c>
      <c r="T8" s="182">
        <f>SUMIFS('2-3-6. Travel Costs&amp;CoS&amp;EC'!U:U,'2-3-6. Travel Costs&amp;CoS&amp;EC'!B:B,B8,'2-3-6. Travel Costs&amp;CoS&amp;EC'!F:F,"*Aff. Partner*",'2-3-6. Travel Costs&amp;CoS&amp;EC'!Y:Y,2,'2-3-6. Travel Costs&amp;CoS&amp;EC'!X:X,"&lt;&gt;Error")</f>
        <v>0</v>
      </c>
      <c r="U8" s="183">
        <f t="shared" si="0"/>
        <v>21261</v>
      </c>
    </row>
    <row r="9" spans="2:21" ht="16.5" customHeight="1" x14ac:dyDescent="0.4">
      <c r="B9" s="11" t="str">
        <f>Rates!J7</f>
        <v>Management</v>
      </c>
      <c r="C9" s="182">
        <f>SUMIFS('1. Staff Costs'!P:P,'1. Staff Costs'!B:B,B9,'1. Staff Costs'!F:F,$C$4,'1. Staff Costs'!Q:Q,"&lt;&gt;Error")</f>
        <v>69720</v>
      </c>
      <c r="D9" s="182">
        <f>SUMIFS('1. Staff Costs'!P:P,'1. Staff Costs'!B:B,B9,'1. Staff Costs'!F:F,$D$4,'1. Staff Costs'!Q:Q,"&lt;&gt;Error")</f>
        <v>6040</v>
      </c>
      <c r="E9" s="182">
        <f>SUMIFS('1. Staff Costs'!P:P,'1. Staff Costs'!B:B,B9,'1. Staff Costs'!F:F,"*Aff. Partner*",'1. Staff Costs'!Q:Q,"&lt;&gt;Error")</f>
        <v>0</v>
      </c>
      <c r="F9" s="182">
        <f>SUMIFS('2-3-6. Travel Costs&amp;CoS&amp;EC'!U:U,'2-3-6. Travel Costs&amp;CoS&amp;EC'!B:B,B9,'2-3-6. Travel Costs&amp;CoS&amp;EC'!F:F,$F$4,'2-3-6. Travel Costs&amp;CoS&amp;EC'!Y:Y,1,'2-3-6. Travel Costs&amp;CoS&amp;EC'!X:X,"&lt;&gt;Error")</f>
        <v>0</v>
      </c>
      <c r="G9" s="182">
        <f>SUMIFS('2-3-6. Travel Costs&amp;CoS&amp;EC'!U:U,'2-3-6. Travel Costs&amp;CoS&amp;EC'!B:B,B9,'2-3-6. Travel Costs&amp;CoS&amp;EC'!F:F,$G$4,'2-3-6. Travel Costs&amp;CoS&amp;EC'!Y:Y,1,'2-3-6. Travel Costs&amp;CoS&amp;EC'!X:X,"&lt;&gt;Error")</f>
        <v>0</v>
      </c>
      <c r="H9" s="182">
        <f>SUMIFS('2-3-6. Travel Costs&amp;CoS&amp;EC'!U:U,'2-3-6. Travel Costs&amp;CoS&amp;EC'!B:B,B9,'2-3-6. Travel Costs&amp;CoS&amp;EC'!F:F,"*Aff. Partner*",'2-3-6. Travel Costs&amp;CoS&amp;EC'!Y:Y,1,'2-3-6. Travel Costs&amp;CoS&amp;EC'!X:X,"&lt;&gt;Error")</f>
        <v>0</v>
      </c>
      <c r="I9" s="182">
        <f>SUMIFS('2-3-6. Travel Costs&amp;CoS&amp;EC'!V:V,'2-3-6. Travel Costs&amp;CoS&amp;EC'!B:B,B9,'2-3-6. Travel Costs&amp;CoS&amp;EC'!F:F,$I$4,'2-3-6. Travel Costs&amp;CoS&amp;EC'!X:X,"&lt;&gt;Error")</f>
        <v>0</v>
      </c>
      <c r="J9" s="182">
        <f>SUMIFS('2-3-6. Travel Costs&amp;CoS&amp;EC'!V:V,'2-3-6. Travel Costs&amp;CoS&amp;EC'!B:B,B9,'2-3-6. Travel Costs&amp;CoS&amp;EC'!F:F,$J$4,'2-3-6. Travel Costs&amp;CoS&amp;EC'!X:X,"&lt;&gt;Error")</f>
        <v>0</v>
      </c>
      <c r="K9" s="182">
        <f>SUMIFS('2-3-6. Travel Costs&amp;CoS&amp;EC'!V:V,'2-3-6. Travel Costs&amp;CoS&amp;EC'!B:B,B9,'2-3-6. Travel Costs&amp;CoS&amp;EC'!F:F,"*Aff. Partner*",'2-3-6. Travel Costs&amp;CoS&amp;EC'!X:X,"&lt;&gt;Error")</f>
        <v>0</v>
      </c>
      <c r="L9" s="182">
        <f>SUMIFS('4. Equipment Costs'!R:R,'4. Equipment Costs'!B:B,B9,'4. Equipment Costs'!F:F,$L$4,'4. Equipment Costs'!S:S,"&lt;&gt;Error")</f>
        <v>0</v>
      </c>
      <c r="M9" s="182">
        <f>SUMIFS('4. Equipment Costs'!R:R,'4. Equipment Costs'!B:B,B9,'4. Equipment Costs'!F:F,$M$4,'4. Equipment Costs'!S:S,"&lt;&gt;Error")</f>
        <v>0</v>
      </c>
      <c r="N9" s="182">
        <f>SUMIFS('4. Equipment Costs'!R:R,'4. Equipment Costs'!B:B,B9,'4. Equipment Costs'!F:F,"*Aff. Partner*",'4. Equipment Costs'!S:S,"&lt;&gt;Error")</f>
        <v>0</v>
      </c>
      <c r="O9" s="182">
        <f>SUMIFS('5. Subcontracting Costs'!R:R,'5. Subcontracting Costs'!B:B,B9,'5. Subcontracting Costs'!F:F,$O$4,'5. Subcontracting Costs'!S:S,"&lt;&gt;Error")</f>
        <v>0</v>
      </c>
      <c r="P9" s="182">
        <f>SUMIFS('5. Subcontracting Costs'!R:R,'5. Subcontracting Costs'!B:B,B9,'5. Subcontracting Costs'!F:F,$P$4,'5. Subcontracting Costs'!S:S,"&lt;&gt;Error")</f>
        <v>0</v>
      </c>
      <c r="Q9" s="182">
        <f>SUMIFS('5. Subcontracting Costs'!R:R,'5. Subcontracting Costs'!B:B,B9,'5. Subcontracting Costs'!F:F,"*Aff. Partner*",'5. Subcontracting Costs'!S:S,"&lt;&gt;Error")</f>
        <v>0</v>
      </c>
      <c r="R9" s="182">
        <f>SUMIFS('2-3-6. Travel Costs&amp;CoS&amp;EC'!U:U,'2-3-6. Travel Costs&amp;CoS&amp;EC'!B:B,B9,'2-3-6. Travel Costs&amp;CoS&amp;EC'!F:F,$R$4,'2-3-6. Travel Costs&amp;CoS&amp;EC'!Y:Y,2,'2-3-6. Travel Costs&amp;CoS&amp;EC'!X:X,"&lt;&gt;Error")</f>
        <v>0</v>
      </c>
      <c r="S9" s="182">
        <f>SUMIFS('2-3-6. Travel Costs&amp;CoS&amp;EC'!U:U,'2-3-6. Travel Costs&amp;CoS&amp;EC'!B:B,B9,'2-3-6. Travel Costs&amp;CoS&amp;EC'!F:F,$S$4,'2-3-6. Travel Costs&amp;CoS&amp;EC'!Y:Y,2,'2-3-6. Travel Costs&amp;CoS&amp;EC'!X:X,"&lt;&gt;Error")</f>
        <v>0</v>
      </c>
      <c r="T9" s="182">
        <f>SUMIFS('2-3-6. Travel Costs&amp;CoS&amp;EC'!U:U,'2-3-6. Travel Costs&amp;CoS&amp;EC'!B:B,B9,'2-3-6. Travel Costs&amp;CoS&amp;EC'!F:F,"*Aff. Partner*",'2-3-6. Travel Costs&amp;CoS&amp;EC'!Y:Y,2,'2-3-6. Travel Costs&amp;CoS&amp;EC'!X:X,"&lt;&gt;Error")</f>
        <v>0</v>
      </c>
      <c r="U9" s="183">
        <f t="shared" si="0"/>
        <v>75760</v>
      </c>
    </row>
    <row r="10" spans="2:21" x14ac:dyDescent="0.4">
      <c r="B10" s="147" t="s">
        <v>376</v>
      </c>
      <c r="C10" s="183">
        <f t="shared" ref="C10:I10" si="1">SUM(C5:C9)</f>
        <v>78708</v>
      </c>
      <c r="D10" s="183">
        <f>SUM(D5:D9)</f>
        <v>46399</v>
      </c>
      <c r="E10" s="183">
        <f>SUM(E5:E9)</f>
        <v>0</v>
      </c>
      <c r="F10" s="183">
        <f t="shared" si="1"/>
        <v>0</v>
      </c>
      <c r="G10" s="183">
        <f>SUM(G5:G9)</f>
        <v>0</v>
      </c>
      <c r="H10" s="183">
        <f>SUM(H5:H9)</f>
        <v>0</v>
      </c>
      <c r="I10" s="183">
        <f t="shared" si="1"/>
        <v>0</v>
      </c>
      <c r="J10" s="183">
        <f t="shared" ref="J10:U10" si="2">SUM(J5:J9)</f>
        <v>0</v>
      </c>
      <c r="K10" s="183">
        <f t="shared" si="2"/>
        <v>0</v>
      </c>
      <c r="L10" s="183">
        <f t="shared" si="2"/>
        <v>0</v>
      </c>
      <c r="M10" s="183">
        <f t="shared" si="2"/>
        <v>129710.22</v>
      </c>
      <c r="N10" s="183">
        <f t="shared" si="2"/>
        <v>0</v>
      </c>
      <c r="O10" s="183">
        <f t="shared" si="2"/>
        <v>9050</v>
      </c>
      <c r="P10" s="183">
        <f t="shared" si="2"/>
        <v>9604.94</v>
      </c>
      <c r="Q10" s="183">
        <f t="shared" si="2"/>
        <v>0</v>
      </c>
      <c r="R10" s="183">
        <f t="shared" si="2"/>
        <v>0</v>
      </c>
      <c r="S10" s="183">
        <f t="shared" si="2"/>
        <v>0</v>
      </c>
      <c r="T10" s="183">
        <f t="shared" si="2"/>
        <v>0</v>
      </c>
      <c r="U10" s="184">
        <f t="shared" si="2"/>
        <v>273472.16000000003</v>
      </c>
    </row>
    <row r="11" spans="2:21" ht="5.15" customHeight="1" x14ac:dyDescent="0.4"/>
    <row r="12" spans="2:21" ht="30" customHeight="1" x14ac:dyDescent="0.4">
      <c r="B12" s="330" t="s">
        <v>178</v>
      </c>
      <c r="C12" s="330"/>
      <c r="D12" s="330"/>
      <c r="E12" s="330"/>
      <c r="F12" s="330"/>
      <c r="G12" s="330"/>
      <c r="H12" s="330"/>
      <c r="I12" s="330"/>
      <c r="J12" s="330"/>
      <c r="K12" s="330"/>
      <c r="L12" s="330"/>
      <c r="M12" s="330"/>
      <c r="N12" s="330"/>
      <c r="O12" s="330"/>
      <c r="P12" s="330"/>
      <c r="Q12" s="330"/>
      <c r="R12" s="330"/>
      <c r="S12" s="330"/>
      <c r="T12" s="330"/>
      <c r="U12" s="330"/>
    </row>
    <row r="13" spans="2:21" ht="36" customHeight="1" x14ac:dyDescent="0.4">
      <c r="B13" s="345" t="s">
        <v>474</v>
      </c>
      <c r="C13" s="331" t="s">
        <v>168</v>
      </c>
      <c r="D13" s="332"/>
      <c r="E13" s="333"/>
      <c r="F13" s="331" t="s">
        <v>169</v>
      </c>
      <c r="G13" s="332"/>
      <c r="H13" s="333"/>
      <c r="I13" s="331" t="s">
        <v>175</v>
      </c>
      <c r="J13" s="332"/>
      <c r="K13" s="333"/>
      <c r="L13" s="331" t="s">
        <v>176</v>
      </c>
      <c r="M13" s="332"/>
      <c r="N13" s="333"/>
      <c r="O13" s="331" t="s">
        <v>177</v>
      </c>
      <c r="P13" s="332"/>
      <c r="Q13" s="333"/>
      <c r="R13" s="331" t="s">
        <v>372</v>
      </c>
      <c r="S13" s="332"/>
      <c r="T13" s="333"/>
      <c r="U13" s="334" t="s">
        <v>217</v>
      </c>
    </row>
    <row r="14" spans="2:21" x14ac:dyDescent="0.4">
      <c r="B14" s="345"/>
      <c r="C14" s="211" t="s">
        <v>471</v>
      </c>
      <c r="D14" s="211" t="s">
        <v>415</v>
      </c>
      <c r="E14" s="211" t="s">
        <v>472</v>
      </c>
      <c r="F14" s="211" t="s">
        <v>471</v>
      </c>
      <c r="G14" s="211" t="s">
        <v>415</v>
      </c>
      <c r="H14" s="211" t="s">
        <v>472</v>
      </c>
      <c r="I14" s="211" t="s">
        <v>471</v>
      </c>
      <c r="J14" s="211" t="s">
        <v>415</v>
      </c>
      <c r="K14" s="211" t="s">
        <v>472</v>
      </c>
      <c r="L14" s="211" t="s">
        <v>471</v>
      </c>
      <c r="M14" s="211" t="s">
        <v>415</v>
      </c>
      <c r="N14" s="211" t="s">
        <v>472</v>
      </c>
      <c r="O14" s="211" t="s">
        <v>471</v>
      </c>
      <c r="P14" s="211" t="s">
        <v>415</v>
      </c>
      <c r="Q14" s="211" t="s">
        <v>472</v>
      </c>
      <c r="R14" s="211" t="s">
        <v>471</v>
      </c>
      <c r="S14" s="211" t="s">
        <v>415</v>
      </c>
      <c r="T14" s="211" t="s">
        <v>472</v>
      </c>
      <c r="U14" s="335"/>
    </row>
    <row r="15" spans="2:21" x14ac:dyDescent="0.4">
      <c r="B15" s="11" t="s">
        <v>173</v>
      </c>
      <c r="C15" s="182">
        <f>SUMIFS('Final financial statement'!G:G,'Final financial statement'!F:F,B15,'Final financial statement'!E:E,$C$14)</f>
        <v>78708</v>
      </c>
      <c r="D15" s="182">
        <f>SUMIFS('Final financial statement'!G:G,'Final financial statement'!F:F,B15,'Final financial statement'!E:E,$D$14)</f>
        <v>11938</v>
      </c>
      <c r="E15" s="182">
        <f>SUMIFS('Final financial statement'!G:G,'Final financial statement'!F:F,B15,'Final financial statement'!E:E,"*Aff. Partner*")</f>
        <v>0</v>
      </c>
      <c r="F15" s="182">
        <f>SUMIFS('Final financial statement'!H:H,'Final financial statement'!F:F,B15,'Final financial statement'!E:E,$F$14)</f>
        <v>0</v>
      </c>
      <c r="G15" s="182">
        <f>SUMIFS('Final financial statement'!H:H,'Final financial statement'!F:F,B15,'Final financial statement'!E:E,$G$14)</f>
        <v>0</v>
      </c>
      <c r="H15" s="182">
        <f>SUMIFS('Final financial statement'!H:H,'Final financial statement'!F:F,B15,'Final financial statement'!E:E,"*Aff. Partner*")</f>
        <v>0</v>
      </c>
      <c r="I15" s="182">
        <f>SUMIFS('Final financial statement'!I:I,'Final financial statement'!F:F,B15,'Final financial statement'!E:E,$I$14)</f>
        <v>0</v>
      </c>
      <c r="J15" s="182">
        <f>SUMIFS('Final financial statement'!I:I,'Final financial statement'!F:F,B15,'Final financial statement'!E:E,$J$14)</f>
        <v>0</v>
      </c>
      <c r="K15" s="182">
        <f>SUMIFS('Final financial statement'!I:I,'Final financial statement'!F:F,B15,'Final financial statement'!E:E,"*Aff. Partner*")</f>
        <v>0</v>
      </c>
      <c r="L15" s="182">
        <f>SUMIFS('Final financial statement'!J:J,'Final financial statement'!F:F,B15,'Final financial statement'!E:E,$L$14)</f>
        <v>0</v>
      </c>
      <c r="M15" s="182">
        <f>SUMIFS('Final financial statement'!J:J,'Final financial statement'!F:F,B15,'Final financial statement'!E:E,$M$14)</f>
        <v>0</v>
      </c>
      <c r="N15" s="182">
        <f>SUMIFS('Final financial statement'!J:J,'Final financial statement'!F:F,B15,'Final financial statement'!E:E,"*Aff. Partner*")</f>
        <v>0</v>
      </c>
      <c r="O15" s="182">
        <f>SUMIFS('Final financial statement'!K:K,'Final financial statement'!F:F,B15,'Final financial statement'!E:E,$O$14)</f>
        <v>9050</v>
      </c>
      <c r="P15" s="182">
        <f>SUMIFS('Final financial statement'!K:K,'Final financial statement'!F:F,B15,'Final financial statement'!E:E,$P$14)</f>
        <v>0</v>
      </c>
      <c r="Q15" s="182">
        <f>SUMIFS('Final financial statement'!K:K,'Final financial statement'!F:F,B15,'Final financial statement'!E:E,"*Aff. Partner*")</f>
        <v>0</v>
      </c>
      <c r="R15" s="182">
        <f>SUMIFS('Final financial statement'!L:L,'Final financial statement'!F:F,B15,'Final financial statement'!E:E,$R$14)</f>
        <v>0</v>
      </c>
      <c r="S15" s="182">
        <f>SUMIFS('Final financial statement'!L:L,'Final financial statement'!F:F,B15,'Final financial statement'!E:E,$S$14)</f>
        <v>0</v>
      </c>
      <c r="T15" s="182">
        <f>SUMIFS('Final financial statement'!L:L,'Final financial statement'!F:F,B15,'Final financial statement'!E:E,"*Aff. Partner*")</f>
        <v>0</v>
      </c>
      <c r="U15" s="183">
        <f>SUM(C15:T15)</f>
        <v>99696</v>
      </c>
    </row>
    <row r="16" spans="2:21" x14ac:dyDescent="0.4">
      <c r="B16" s="11" t="s">
        <v>174</v>
      </c>
      <c r="C16" s="182">
        <f>SUMIFS('Final financial statement'!G:G,'Final financial statement'!F:F,B16,'Final financial statement'!E:E,$C$14)</f>
        <v>0</v>
      </c>
      <c r="D16" s="182">
        <f>SUMIFS('Final financial statement'!G:G,'Final financial statement'!F:F,B16,'Final financial statement'!E:E,$D$14)</f>
        <v>34461</v>
      </c>
      <c r="E16" s="182">
        <f>SUMIFS('Final financial statement'!G:G,'Final financial statement'!F:F,B16,'Final financial statement'!E:E,"*Aff. Partner*")</f>
        <v>0</v>
      </c>
      <c r="F16" s="182">
        <f>SUMIFS('Final financial statement'!H:H,'Final financial statement'!F:F,B16,'Final financial statement'!E:E,$F$14)</f>
        <v>0</v>
      </c>
      <c r="G16" s="182">
        <f>SUMIFS('Final financial statement'!H:H,'Final financial statement'!F:F,B16,'Final financial statement'!E:E,$G$14)</f>
        <v>0</v>
      </c>
      <c r="H16" s="182">
        <f>SUMIFS('Final financial statement'!H:H,'Final financial statement'!F:F,B16,'Final financial statement'!E:E,"*Aff. Partner*")</f>
        <v>0</v>
      </c>
      <c r="I16" s="182">
        <f>SUMIFS('Final financial statement'!I:I,'Final financial statement'!F:F,B16,'Final financial statement'!E:E,$I$14)</f>
        <v>0</v>
      </c>
      <c r="J16" s="182">
        <f>SUMIFS('Final financial statement'!I:I,'Final financial statement'!F:F,B16,'Final financial statement'!E:E,$J$14)</f>
        <v>0</v>
      </c>
      <c r="K16" s="182">
        <f>SUMIFS('Final financial statement'!I:I,'Final financial statement'!F:F,B16,'Final financial statement'!E:E,"*Aff. Partner*")</f>
        <v>0</v>
      </c>
      <c r="L16" s="182">
        <f>SUMIFS('Final financial statement'!J:J,'Final financial statement'!F:F,B16,'Final financial statement'!E:E,$L$14)</f>
        <v>0</v>
      </c>
      <c r="M16" s="182">
        <f>SUMIFS('Final financial statement'!J:J,'Final financial statement'!F:F,B16,'Final financial statement'!E:E,$M$14)</f>
        <v>129710.22</v>
      </c>
      <c r="N16" s="182">
        <f>SUMIFS('Final financial statement'!J:J,'Final financial statement'!F:F,B16,'Final financial statement'!E:E,"*Aff. Partner*")</f>
        <v>0</v>
      </c>
      <c r="O16" s="182">
        <f>SUMIFS('Final financial statement'!K:K,'Final financial statement'!F:F,B16,'Final financial statement'!E:E,$O$14)</f>
        <v>0</v>
      </c>
      <c r="P16" s="182">
        <f>SUMIFS('Final financial statement'!K:K,'Final financial statement'!F:F,B16,'Final financial statement'!E:E,$P$14)</f>
        <v>9604.94</v>
      </c>
      <c r="Q16" s="182">
        <f>SUMIFS('Final financial statement'!K:K,'Final financial statement'!F:F,B16,'Final financial statement'!E:E,"*Aff. Partner*")</f>
        <v>0</v>
      </c>
      <c r="R16" s="182">
        <f>SUMIFS('Final financial statement'!L:L,'Final financial statement'!F:F,B16,'Final financial statement'!E:E,$R$14)</f>
        <v>0</v>
      </c>
      <c r="S16" s="182">
        <f>SUMIFS('Final financial statement'!L:L,'Final financial statement'!F:F,B16,'Final financial statement'!E:E,$S$14)</f>
        <v>0</v>
      </c>
      <c r="T16" s="182">
        <f>SUMIFS('Final financial statement'!L:L,'Final financial statement'!F:F,B16,'Final financial statement'!E:E,"*Aff. Partner*")</f>
        <v>0</v>
      </c>
      <c r="U16" s="183">
        <f>SUM(C16:T16)</f>
        <v>173776.16</v>
      </c>
    </row>
    <row r="17" spans="2:21" x14ac:dyDescent="0.4">
      <c r="B17" s="147" t="s">
        <v>376</v>
      </c>
      <c r="C17" s="183">
        <f t="shared" ref="C17:U17" si="3">SUM(C15:C16)</f>
        <v>78708</v>
      </c>
      <c r="D17" s="183">
        <f t="shared" si="3"/>
        <v>46399</v>
      </c>
      <c r="E17" s="183">
        <f t="shared" si="3"/>
        <v>0</v>
      </c>
      <c r="F17" s="183">
        <f t="shared" si="3"/>
        <v>0</v>
      </c>
      <c r="G17" s="183">
        <f t="shared" si="3"/>
        <v>0</v>
      </c>
      <c r="H17" s="183">
        <f t="shared" si="3"/>
        <v>0</v>
      </c>
      <c r="I17" s="183">
        <f t="shared" si="3"/>
        <v>0</v>
      </c>
      <c r="J17" s="183">
        <f t="shared" si="3"/>
        <v>0</v>
      </c>
      <c r="K17" s="183">
        <f t="shared" si="3"/>
        <v>0</v>
      </c>
      <c r="L17" s="183">
        <f t="shared" si="3"/>
        <v>0</v>
      </c>
      <c r="M17" s="183">
        <f t="shared" si="3"/>
        <v>129710.22</v>
      </c>
      <c r="N17" s="183">
        <f t="shared" si="3"/>
        <v>0</v>
      </c>
      <c r="O17" s="183">
        <f t="shared" si="3"/>
        <v>9050</v>
      </c>
      <c r="P17" s="183">
        <f t="shared" si="3"/>
        <v>9604.94</v>
      </c>
      <c r="Q17" s="183">
        <f t="shared" si="3"/>
        <v>0</v>
      </c>
      <c r="R17" s="183">
        <f t="shared" si="3"/>
        <v>0</v>
      </c>
      <c r="S17" s="183">
        <f t="shared" si="3"/>
        <v>0</v>
      </c>
      <c r="T17" s="183">
        <f t="shared" si="3"/>
        <v>0</v>
      </c>
      <c r="U17" s="184">
        <f t="shared" si="3"/>
        <v>273472.16000000003</v>
      </c>
    </row>
    <row r="18" spans="2:21" ht="5.15" customHeight="1" x14ac:dyDescent="0.4"/>
    <row r="19" spans="2:21" ht="30" customHeight="1" x14ac:dyDescent="0.4">
      <c r="B19" s="330" t="s">
        <v>180</v>
      </c>
      <c r="C19" s="330"/>
      <c r="D19" s="330"/>
      <c r="E19" s="330"/>
      <c r="F19" s="330"/>
      <c r="G19" s="330"/>
      <c r="H19" s="330"/>
      <c r="I19" s="330"/>
      <c r="J19" s="330"/>
      <c r="K19" s="330"/>
      <c r="L19" s="330"/>
      <c r="M19" s="330"/>
      <c r="N19" s="330"/>
      <c r="O19" s="330"/>
      <c r="P19" s="330"/>
      <c r="Q19" s="330"/>
      <c r="R19" s="330"/>
      <c r="S19" s="330"/>
      <c r="T19" s="330"/>
      <c r="U19" s="330"/>
    </row>
    <row r="20" spans="2:21" ht="36" x14ac:dyDescent="0.4">
      <c r="B20" s="209" t="s">
        <v>179</v>
      </c>
      <c r="C20" s="210" t="s">
        <v>414</v>
      </c>
      <c r="D20" s="338" t="s">
        <v>0</v>
      </c>
      <c r="E20" s="339"/>
      <c r="F20" s="233" t="str">
        <f>Rates!J3</f>
        <v>Preparation</v>
      </c>
      <c r="G20" s="340"/>
      <c r="H20" s="234"/>
      <c r="I20" s="233" t="str">
        <f>Rates!J4</f>
        <v>Development</v>
      </c>
      <c r="J20" s="340"/>
      <c r="K20" s="234"/>
      <c r="L20" s="233" t="str">
        <f>Rates!J5</f>
        <v>Quality Plan</v>
      </c>
      <c r="M20" s="340"/>
      <c r="N20" s="234"/>
      <c r="O20" s="338" t="str">
        <f>Rates!J6</f>
        <v>Dissemination &amp; Exploitation</v>
      </c>
      <c r="P20" s="341"/>
      <c r="Q20" s="339"/>
      <c r="R20" s="233" t="str">
        <f>Rates!J7</f>
        <v>Management</v>
      </c>
      <c r="S20" s="340"/>
      <c r="T20" s="234"/>
      <c r="U20" s="211" t="s">
        <v>217</v>
      </c>
    </row>
    <row r="21" spans="2:21" x14ac:dyDescent="0.4">
      <c r="B21" s="208" t="s">
        <v>6</v>
      </c>
      <c r="C21" s="171" t="str">
        <f>IF('Final financial statement'!E23=0,"",'Final financial statement'!E23)</f>
        <v>Coord</v>
      </c>
      <c r="D21" s="336" t="str">
        <f>IF('Final financial statement'!D23=0,"",'Final financial statement'!D23)</f>
        <v>France</v>
      </c>
      <c r="E21" s="337"/>
      <c r="F21" s="342">
        <f>SUMIFS('1. Staff Costs'!P:P,'1. Staff Costs'!C:C,B21,'1. Staff Costs'!B:B,$F$20,'1. Staff Costs'!Q:Q,"&lt;&gt;Error")+SUMIFS('2-3-6. Travel Costs&amp;CoS&amp;EC'!W:W,'2-3-6. Travel Costs&amp;CoS&amp;EC'!C:C,B21,'2-3-6. Travel Costs&amp;CoS&amp;EC'!B:B,$F$20,'2-3-6. Travel Costs&amp;CoS&amp;EC'!X:X,"&lt;&gt;Error")+SUMIFS('4. Equipment Costs'!R:R,'4. Equipment Costs'!C:C,B21,'4. Equipment Costs'!B:B,$F$20,'4. Equipment Costs'!S:S,"&lt;&gt;Error")+SUMIFS('5. Subcontracting Costs'!R:R,'5. Subcontracting Costs'!C:C,B21,'5. Subcontracting Costs'!B:B,$F$20,'5. Subcontracting Costs'!S:S,"&lt;&gt;Error")</f>
        <v>1070</v>
      </c>
      <c r="G21" s="343"/>
      <c r="H21" s="344"/>
      <c r="I21" s="342">
        <f>SUMIFS('1. Staff Costs'!P:P,'1. Staff Costs'!C:C,B21,'1. Staff Costs'!B:B,$I$20,'1. Staff Costs'!Q:Q,"&lt;&gt;Error")+SUMIFS('2-3-6. Travel Costs&amp;CoS&amp;EC'!W:W,'2-3-6. Travel Costs&amp;CoS&amp;EC'!C:C,B21,'2-3-6. Travel Costs&amp;CoS&amp;EC'!B:B,$I$20,'2-3-6. Travel Costs&amp;CoS&amp;EC'!X:X,"&lt;&gt;Error")+SUMIFS('4. Equipment Costs'!R:R,'4. Equipment Costs'!C:C,B21,'4. Equipment Costs'!B:B,$I$20,'4. Equipment Costs'!S:S,"&lt;&gt;Error")+SUMIFS('5. Subcontracting Costs'!R:R,'5. Subcontracting Costs'!C:C,B21,'5. Subcontracting Costs'!B:B,$I$20,'5. Subcontracting Costs'!S:S,"&lt;&gt;Error")</f>
        <v>3424</v>
      </c>
      <c r="J21" s="343"/>
      <c r="K21" s="344"/>
      <c r="L21" s="342">
        <f>SUMIFS('1. Staff Costs'!P:P,'1. Staff Costs'!C:C,B21,'1. Staff Costs'!B:B,$L$20,'1. Staff Costs'!Q:Q,"&lt;&gt;Error")+SUMIFS('2-3-6. Travel Costs&amp;CoS&amp;EC'!W:W,'2-3-6. Travel Costs&amp;CoS&amp;EC'!C:C,B21,'2-3-6. Travel Costs&amp;CoS&amp;EC'!B:B,$L$20,'2-3-6. Travel Costs&amp;CoS&amp;EC'!X:X,"&lt;&gt;Error")+SUMIFS('4. Equipment Costs'!R:R,'4. Equipment Costs'!C:C,B21,'4. Equipment Costs'!B:B,$L$20,'4. Equipment Costs'!S:S,"&lt;&gt;Error")+SUMIFS('5. Subcontracting Costs'!R:R,'5. Subcontracting Costs'!C:C,B21,'5. Subcontracting Costs'!B:B,$L$20,'5. Subcontracting Costs'!S:S,"&lt;&gt;Error")</f>
        <v>1070</v>
      </c>
      <c r="M21" s="343"/>
      <c r="N21" s="344"/>
      <c r="O21" s="342">
        <f>SUMIFS('1. Staff Costs'!P:P,'1. Staff Costs'!C:C,B21,'1. Staff Costs'!B:B,$O$20,'1. Staff Costs'!Q:Q,"&lt;&gt;Error")+SUMIFS('2-3-6. Travel Costs&amp;CoS&amp;EC'!W:W,'2-3-6. Travel Costs&amp;CoS&amp;EC'!C:C,B21,'2-3-6. Travel Costs&amp;CoS&amp;EC'!B:B,$O$20,'2-3-6. Travel Costs&amp;CoS&amp;EC'!X:X,"&lt;&gt;Error")+SUMIFS('4. Equipment Costs'!R:R,'4. Equipment Costs'!C:C,B21,'4. Equipment Costs'!B:B,$O$20,'4. Equipment Costs'!S:S,"&lt;&gt;Error")+SUMIFS('5. Subcontracting Costs'!R:R,'5. Subcontracting Costs'!C:C,B21,'5. Subcontracting Costs'!B:B,$O$20,'5. Subcontracting Costs'!S:S,"&lt;&gt;Error")</f>
        <v>12474</v>
      </c>
      <c r="P21" s="343"/>
      <c r="Q21" s="344"/>
      <c r="R21" s="342">
        <f>SUMIFS('1. Staff Costs'!P:P,'1. Staff Costs'!C:C,B21,'1. Staff Costs'!B:B,$R$20,'1. Staff Costs'!Q:Q,"&lt;&gt;Error")+SUMIFS('2-3-6. Travel Costs&amp;CoS&amp;EC'!W:W,'2-3-6. Travel Costs&amp;CoS&amp;EC'!C:C,B21,'2-3-6. Travel Costs&amp;CoS&amp;EC'!B:B,$R$20,'2-3-6. Travel Costs&amp;CoS&amp;EC'!X:X,"&lt;&gt;Error")+SUMIFS('4. Equipment Costs'!R:R,'4. Equipment Costs'!C:C,B21,'4. Equipment Costs'!B:B,$R$20,'4. Equipment Costs'!S:S,"&lt;&gt;Error")+SUMIFS('5. Subcontracting Costs'!R:R,'5. Subcontracting Costs'!C:C,B21,'5. Subcontracting Costs'!B:B,$R$20,'5. Subcontracting Costs'!S:S,"&lt;&gt;Error")</f>
        <v>69720</v>
      </c>
      <c r="S21" s="343"/>
      <c r="T21" s="344"/>
      <c r="U21" s="185">
        <f>SUM(F21:T21)</f>
        <v>87758</v>
      </c>
    </row>
    <row r="22" spans="2:21" x14ac:dyDescent="0.4">
      <c r="B22" s="208" t="s">
        <v>7</v>
      </c>
      <c r="C22" s="171" t="str">
        <f>IF('Final financial statement'!E24=0,"",'Final financial statement'!E24)</f>
        <v>Partner</v>
      </c>
      <c r="D22" s="336" t="str">
        <f>IF('Final financial statement'!D24=0,"",'Final financial statement'!D24)</f>
        <v>Colombia</v>
      </c>
      <c r="E22" s="337"/>
      <c r="F22" s="342">
        <f>SUMIFS('1. Staff Costs'!P:P,'1. Staff Costs'!C:C,B22,'1. Staff Costs'!B:B,$F$20,'1. Staff Costs'!Q:Q,"&lt;&gt;Error")+SUMIFS('2-3-6. Travel Costs&amp;CoS&amp;EC'!W:W,'2-3-6. Travel Costs&amp;CoS&amp;EC'!C:C,B22,'2-3-6. Travel Costs&amp;CoS&amp;EC'!B:B,$F$20,'2-3-6. Travel Costs&amp;CoS&amp;EC'!X:X,"&lt;&gt;Error")+SUMIFS('4. Equipment Costs'!R:R,'4. Equipment Costs'!C:C,B22,'4. Equipment Costs'!B:B,$F$20,'4. Equipment Costs'!S:S,"&lt;&gt;Error")+SUMIFS('5. Subcontracting Costs'!R:R,'5. Subcontracting Costs'!C:C,B22,'5. Subcontracting Costs'!B:B,$F$20,'5. Subcontracting Costs'!S:S,"&lt;&gt;Error")</f>
        <v>800</v>
      </c>
      <c r="G22" s="343"/>
      <c r="H22" s="344"/>
      <c r="I22" s="342">
        <f>SUMIFS('1. Staff Costs'!P:P,'1. Staff Costs'!C:C,B22,'1. Staff Costs'!B:B,$I$20,'1. Staff Costs'!Q:Q,"&lt;&gt;Error")+SUMIFS('2-3-6. Travel Costs&amp;CoS&amp;EC'!W:W,'2-3-6. Travel Costs&amp;CoS&amp;EC'!C:C,B22,'2-3-6. Travel Costs&amp;CoS&amp;EC'!B:B,$I$20,'2-3-6. Travel Costs&amp;CoS&amp;EC'!X:X,"&lt;&gt;Error")+SUMIFS('4. Equipment Costs'!R:R,'4. Equipment Costs'!C:C,B22,'4. Equipment Costs'!B:B,$I$20,'4. Equipment Costs'!S:S,"&lt;&gt;Error")+SUMIFS('5. Subcontracting Costs'!R:R,'5. Subcontracting Costs'!C:C,B22,'5. Subcontracting Costs'!B:B,$I$20,'5. Subcontracting Costs'!S:S,"&lt;&gt;Error")</f>
        <v>48723.130000000005</v>
      </c>
      <c r="J22" s="343"/>
      <c r="K22" s="344"/>
      <c r="L22" s="342">
        <f>SUMIFS('1. Staff Costs'!P:P,'1. Staff Costs'!C:C,B22,'1. Staff Costs'!B:B,$L$20,'1. Staff Costs'!Q:Q,"&lt;&gt;Error")+SUMIFS('2-3-6. Travel Costs&amp;CoS&amp;EC'!W:W,'2-3-6. Travel Costs&amp;CoS&amp;EC'!C:C,B22,'2-3-6. Travel Costs&amp;CoS&amp;EC'!B:B,$L$20,'2-3-6. Travel Costs&amp;CoS&amp;EC'!X:X,"&lt;&gt;Error")+SUMIFS('4. Equipment Costs'!R:R,'4. Equipment Costs'!C:C,B22,'4. Equipment Costs'!B:B,$L$20,'4. Equipment Costs'!S:S,"&lt;&gt;Error")+SUMIFS('5. Subcontracting Costs'!R:R,'5. Subcontracting Costs'!C:C,B22,'5. Subcontracting Costs'!B:B,$L$20,'5. Subcontracting Costs'!S:S,"&lt;&gt;Error")</f>
        <v>800</v>
      </c>
      <c r="M22" s="343"/>
      <c r="N22" s="344"/>
      <c r="O22" s="342">
        <f>SUMIFS('1. Staff Costs'!P:P,'1. Staff Costs'!C:C,B22,'1. Staff Costs'!B:B,$O$20,'1. Staff Costs'!Q:Q,"&lt;&gt;Error")+SUMIFS('2-3-6. Travel Costs&amp;CoS&amp;EC'!W:W,'2-3-6. Travel Costs&amp;CoS&amp;EC'!C:C,B22,'2-3-6. Travel Costs&amp;CoS&amp;EC'!B:B,$O$20,'2-3-6. Travel Costs&amp;CoS&amp;EC'!X:X,"&lt;&gt;Error")+SUMIFS('4. Equipment Costs'!R:R,'4. Equipment Costs'!C:C,B22,'4. Equipment Costs'!B:B,$O$20,'4. Equipment Costs'!S:S,"&lt;&gt;Error")+SUMIFS('5. Subcontracting Costs'!R:R,'5. Subcontracting Costs'!C:C,B22,'5. Subcontracting Costs'!B:B,$O$20,'5. Subcontracting Costs'!S:S,"&lt;&gt;Error")</f>
        <v>2000</v>
      </c>
      <c r="P22" s="343"/>
      <c r="Q22" s="344"/>
      <c r="R22" s="342">
        <f>SUMIFS('1. Staff Costs'!P:P,'1. Staff Costs'!C:C,B22,'1. Staff Costs'!B:B,$R$20,'1. Staff Costs'!Q:Q,"&lt;&gt;Error")+SUMIFS('2-3-6. Travel Costs&amp;CoS&amp;EC'!W:W,'2-3-6. Travel Costs&amp;CoS&amp;EC'!C:C,B22,'2-3-6. Travel Costs&amp;CoS&amp;EC'!B:B,$R$20,'2-3-6. Travel Costs&amp;CoS&amp;EC'!X:X,"&lt;&gt;Error")+SUMIFS('4. Equipment Costs'!R:R,'4. Equipment Costs'!C:C,B22,'4. Equipment Costs'!B:B,$R$20,'4. Equipment Costs'!S:S,"&lt;&gt;Error")+SUMIFS('5. Subcontracting Costs'!R:R,'5. Subcontracting Costs'!C:C,B22,'5. Subcontracting Costs'!B:B,$R$20,'5. Subcontracting Costs'!S:S,"&lt;&gt;Error")</f>
        <v>3240</v>
      </c>
      <c r="S22" s="343"/>
      <c r="T22" s="344"/>
      <c r="U22" s="185">
        <f t="shared" ref="U22:U75" si="4">SUM(F22:T22)</f>
        <v>55563.130000000005</v>
      </c>
    </row>
    <row r="23" spans="2:21" x14ac:dyDescent="0.4">
      <c r="B23" s="208" t="s">
        <v>8</v>
      </c>
      <c r="C23" s="171" t="str">
        <f>IF('Final financial statement'!E25=0,"",'Final financial statement'!E25)</f>
        <v>Partner</v>
      </c>
      <c r="D23" s="336" t="str">
        <f>IF('Final financial statement'!D25=0,"",'Final financial statement'!D25)</f>
        <v>Colombia</v>
      </c>
      <c r="E23" s="337"/>
      <c r="F23" s="342">
        <f>SUMIFS('1. Staff Costs'!P:P,'1. Staff Costs'!C:C,B23,'1. Staff Costs'!B:B,$F$20,'1. Staff Costs'!Q:Q,"&lt;&gt;Error")+SUMIFS('2-3-6. Travel Costs&amp;CoS&amp;EC'!W:W,'2-3-6. Travel Costs&amp;CoS&amp;EC'!C:C,B23,'2-3-6. Travel Costs&amp;CoS&amp;EC'!B:B,$F$20,'2-3-6. Travel Costs&amp;CoS&amp;EC'!X:X,"&lt;&gt;Error")+SUMIFS('4. Equipment Costs'!R:R,'4. Equipment Costs'!C:C,B23,'4. Equipment Costs'!B:B,$F$20,'4. Equipment Costs'!S:S,"&lt;&gt;Error")+SUMIFS('5. Subcontracting Costs'!R:R,'5. Subcontracting Costs'!C:C,B23,'5. Subcontracting Costs'!B:B,$F$20,'5. Subcontracting Costs'!S:S,"&lt;&gt;Error")</f>
        <v>800</v>
      </c>
      <c r="G23" s="343"/>
      <c r="H23" s="344"/>
      <c r="I23" s="342">
        <f>SUMIFS('1. Staff Costs'!P:P,'1. Staff Costs'!C:C,B23,'1. Staff Costs'!B:B,$I$20,'1. Staff Costs'!Q:Q,"&lt;&gt;Error")+SUMIFS('2-3-6. Travel Costs&amp;CoS&amp;EC'!W:W,'2-3-6. Travel Costs&amp;CoS&amp;EC'!C:C,B23,'2-3-6. Travel Costs&amp;CoS&amp;EC'!B:B,$I$20,'2-3-6. Travel Costs&amp;CoS&amp;EC'!X:X,"&lt;&gt;Error")+SUMIFS('4. Equipment Costs'!R:R,'4. Equipment Costs'!C:C,B23,'4. Equipment Costs'!B:B,$I$20,'4. Equipment Costs'!S:S,"&lt;&gt;Error")+SUMIFS('5. Subcontracting Costs'!R:R,'5. Subcontracting Costs'!C:C,B23,'5. Subcontracting Costs'!B:B,$I$20,'5. Subcontracting Costs'!S:S,"&lt;&gt;Error")</f>
        <v>27822.190000000002</v>
      </c>
      <c r="J23" s="343"/>
      <c r="K23" s="344"/>
      <c r="L23" s="342">
        <f>SUMIFS('1. Staff Costs'!P:P,'1. Staff Costs'!C:C,B23,'1. Staff Costs'!B:B,$L$20,'1. Staff Costs'!Q:Q,"&lt;&gt;Error")+SUMIFS('2-3-6. Travel Costs&amp;CoS&amp;EC'!W:W,'2-3-6. Travel Costs&amp;CoS&amp;EC'!C:C,B23,'2-3-6. Travel Costs&amp;CoS&amp;EC'!B:B,$L$20,'2-3-6. Travel Costs&amp;CoS&amp;EC'!X:X,"&lt;&gt;Error")+SUMIFS('4. Equipment Costs'!R:R,'4. Equipment Costs'!C:C,B23,'4. Equipment Costs'!B:B,$L$20,'4. Equipment Costs'!S:S,"&lt;&gt;Error")+SUMIFS('5. Subcontracting Costs'!R:R,'5. Subcontracting Costs'!C:C,B23,'5. Subcontracting Costs'!B:B,$L$20,'5. Subcontracting Costs'!S:S,"&lt;&gt;Error")</f>
        <v>0</v>
      </c>
      <c r="M23" s="343"/>
      <c r="N23" s="344"/>
      <c r="O23" s="342">
        <f>SUMIFS('1. Staff Costs'!P:P,'1. Staff Costs'!C:C,B23,'1. Staff Costs'!B:B,$O$20,'1. Staff Costs'!Q:Q,"&lt;&gt;Error")+SUMIFS('2-3-6. Travel Costs&amp;CoS&amp;EC'!W:W,'2-3-6. Travel Costs&amp;CoS&amp;EC'!C:C,B23,'2-3-6. Travel Costs&amp;CoS&amp;EC'!B:B,$O$20,'2-3-6. Travel Costs&amp;CoS&amp;EC'!X:X,"&lt;&gt;Error")+SUMIFS('4. Equipment Costs'!R:R,'4. Equipment Costs'!C:C,B23,'4. Equipment Costs'!B:B,$O$20,'4. Equipment Costs'!S:S,"&lt;&gt;Error")+SUMIFS('5. Subcontracting Costs'!R:R,'5. Subcontracting Costs'!C:C,B23,'5. Subcontracting Costs'!B:B,$O$20,'5. Subcontracting Costs'!S:S,"&lt;&gt;Error")</f>
        <v>640</v>
      </c>
      <c r="P23" s="343"/>
      <c r="Q23" s="344"/>
      <c r="R23" s="342">
        <f>SUMIFS('1. Staff Costs'!P:P,'1. Staff Costs'!C:C,B23,'1. Staff Costs'!B:B,$R$20,'1. Staff Costs'!Q:Q,"&lt;&gt;Error")+SUMIFS('2-3-6. Travel Costs&amp;CoS&amp;EC'!W:W,'2-3-6. Travel Costs&amp;CoS&amp;EC'!C:C,B23,'2-3-6. Travel Costs&amp;CoS&amp;EC'!B:B,$R$20,'2-3-6. Travel Costs&amp;CoS&amp;EC'!X:X,"&lt;&gt;Error")+SUMIFS('4. Equipment Costs'!R:R,'4. Equipment Costs'!C:C,B23,'4. Equipment Costs'!B:B,$R$20,'4. Equipment Costs'!S:S,"&lt;&gt;Error")+SUMIFS('5. Subcontracting Costs'!R:R,'5. Subcontracting Costs'!C:C,B23,'5. Subcontracting Costs'!B:B,$R$20,'5. Subcontracting Costs'!S:S,"&lt;&gt;Error")</f>
        <v>0</v>
      </c>
      <c r="S23" s="343"/>
      <c r="T23" s="344"/>
      <c r="U23" s="185">
        <f t="shared" si="4"/>
        <v>29262.190000000002</v>
      </c>
    </row>
    <row r="24" spans="2:21" x14ac:dyDescent="0.4">
      <c r="B24" s="208" t="s">
        <v>9</v>
      </c>
      <c r="C24" s="171" t="str">
        <f>IF('Final financial statement'!E26=0,"",'Final financial statement'!E26)</f>
        <v>Partner</v>
      </c>
      <c r="D24" s="336" t="str">
        <f>IF('Final financial statement'!D26=0,"",'Final financial statement'!D26)</f>
        <v>Ecuador</v>
      </c>
      <c r="E24" s="337"/>
      <c r="F24" s="342">
        <f>SUMIFS('1. Staff Costs'!P:P,'1. Staff Costs'!C:C,B24,'1. Staff Costs'!B:B,$F$20,'1. Staff Costs'!Q:Q,"&lt;&gt;Error")+SUMIFS('2-3-6. Travel Costs&amp;CoS&amp;EC'!W:W,'2-3-6. Travel Costs&amp;CoS&amp;EC'!C:C,B24,'2-3-6. Travel Costs&amp;CoS&amp;EC'!B:B,$F$20,'2-3-6. Travel Costs&amp;CoS&amp;EC'!X:X,"&lt;&gt;Error")+SUMIFS('4. Equipment Costs'!R:R,'4. Equipment Costs'!C:C,B24,'4. Equipment Costs'!B:B,$F$20,'4. Equipment Costs'!S:S,"&lt;&gt;Error")+SUMIFS('5. Subcontracting Costs'!R:R,'5. Subcontracting Costs'!C:C,B24,'5. Subcontracting Costs'!B:B,$F$20,'5. Subcontracting Costs'!S:S,"&lt;&gt;Error")</f>
        <v>285</v>
      </c>
      <c r="G24" s="343"/>
      <c r="H24" s="344"/>
      <c r="I24" s="342">
        <f>SUMIFS('1. Staff Costs'!P:P,'1. Staff Costs'!C:C,B24,'1. Staff Costs'!B:B,$I$20,'1. Staff Costs'!Q:Q,"&lt;&gt;Error")+SUMIFS('2-3-6. Travel Costs&amp;CoS&amp;EC'!W:W,'2-3-6. Travel Costs&amp;CoS&amp;EC'!C:C,B24,'2-3-6. Travel Costs&amp;CoS&amp;EC'!B:B,$I$20,'2-3-6. Travel Costs&amp;CoS&amp;EC'!X:X,"&lt;&gt;Error")+SUMIFS('4. Equipment Costs'!R:R,'4. Equipment Costs'!C:C,B24,'4. Equipment Costs'!B:B,$I$20,'4. Equipment Costs'!S:S,"&lt;&gt;Error")+SUMIFS('5. Subcontracting Costs'!R:R,'5. Subcontracting Costs'!C:C,B24,'5. Subcontracting Costs'!B:B,$I$20,'5. Subcontracting Costs'!S:S,"&lt;&gt;Error")</f>
        <v>14030.8</v>
      </c>
      <c r="J24" s="343"/>
      <c r="K24" s="344"/>
      <c r="L24" s="342">
        <f>SUMIFS('1. Staff Costs'!P:P,'1. Staff Costs'!C:C,B24,'1. Staff Costs'!B:B,$L$20,'1. Staff Costs'!Q:Q,"&lt;&gt;Error")+SUMIFS('2-3-6. Travel Costs&amp;CoS&amp;EC'!W:W,'2-3-6. Travel Costs&amp;CoS&amp;EC'!C:C,B24,'2-3-6. Travel Costs&amp;CoS&amp;EC'!B:B,$L$20,'2-3-6. Travel Costs&amp;CoS&amp;EC'!X:X,"&lt;&gt;Error")+SUMIFS('4. Equipment Costs'!R:R,'4. Equipment Costs'!C:C,B24,'4. Equipment Costs'!B:B,$L$20,'4. Equipment Costs'!S:S,"&lt;&gt;Error")+SUMIFS('5. Subcontracting Costs'!R:R,'5. Subcontracting Costs'!C:C,B24,'5. Subcontracting Costs'!B:B,$L$20,'5. Subcontracting Costs'!S:S,"&lt;&gt;Error")</f>
        <v>0</v>
      </c>
      <c r="M24" s="343"/>
      <c r="N24" s="344"/>
      <c r="O24" s="342">
        <f>SUMIFS('1. Staff Costs'!P:P,'1. Staff Costs'!C:C,B24,'1. Staff Costs'!B:B,$O$20,'1. Staff Costs'!Q:Q,"&lt;&gt;Error")+SUMIFS('2-3-6. Travel Costs&amp;CoS&amp;EC'!W:W,'2-3-6. Travel Costs&amp;CoS&amp;EC'!C:C,B24,'2-3-6. Travel Costs&amp;CoS&amp;EC'!B:B,$O$20,'2-3-6. Travel Costs&amp;CoS&amp;EC'!X:X,"&lt;&gt;Error")+SUMIFS('4. Equipment Costs'!R:R,'4. Equipment Costs'!C:C,B24,'4. Equipment Costs'!B:B,$O$20,'4. Equipment Costs'!S:S,"&lt;&gt;Error")+SUMIFS('5. Subcontracting Costs'!R:R,'5. Subcontracting Costs'!C:C,B24,'5. Subcontracting Costs'!B:B,$O$20,'5. Subcontracting Costs'!S:S,"&lt;&gt;Error")</f>
        <v>285</v>
      </c>
      <c r="P24" s="343"/>
      <c r="Q24" s="344"/>
      <c r="R24" s="342">
        <f>SUMIFS('1. Staff Costs'!P:P,'1. Staff Costs'!C:C,B24,'1. Staff Costs'!B:B,$R$20,'1. Staff Costs'!Q:Q,"&lt;&gt;Error")+SUMIFS('2-3-6. Travel Costs&amp;CoS&amp;EC'!W:W,'2-3-6. Travel Costs&amp;CoS&amp;EC'!C:C,B24,'2-3-6. Travel Costs&amp;CoS&amp;EC'!B:B,$R$20,'2-3-6. Travel Costs&amp;CoS&amp;EC'!X:X,"&lt;&gt;Error")+SUMIFS('4. Equipment Costs'!R:R,'4. Equipment Costs'!C:C,B24,'4. Equipment Costs'!B:B,$R$20,'4. Equipment Costs'!S:S,"&lt;&gt;Error")+SUMIFS('5. Subcontracting Costs'!R:R,'5. Subcontracting Costs'!C:C,B24,'5. Subcontracting Costs'!B:B,$R$20,'5. Subcontracting Costs'!S:S,"&lt;&gt;Error")</f>
        <v>0</v>
      </c>
      <c r="S24" s="343"/>
      <c r="T24" s="344"/>
      <c r="U24" s="185">
        <f t="shared" si="4"/>
        <v>14600.8</v>
      </c>
    </row>
    <row r="25" spans="2:21" x14ac:dyDescent="0.4">
      <c r="B25" s="208" t="s">
        <v>10</v>
      </c>
      <c r="C25" s="171" t="str">
        <f>IF('Final financial statement'!E27=0,"",'Final financial statement'!E27)</f>
        <v>Partner</v>
      </c>
      <c r="D25" s="336" t="str">
        <f>IF('Final financial statement'!D27=0,"",'Final financial statement'!D27)</f>
        <v>Ecuador</v>
      </c>
      <c r="E25" s="337"/>
      <c r="F25" s="342">
        <f>SUMIFS('1. Staff Costs'!P:P,'1. Staff Costs'!C:C,B25,'1. Staff Costs'!B:B,$F$20,'1. Staff Costs'!Q:Q,"&lt;&gt;Error")+SUMIFS('2-3-6. Travel Costs&amp;CoS&amp;EC'!W:W,'2-3-6. Travel Costs&amp;CoS&amp;EC'!C:C,B25,'2-3-6. Travel Costs&amp;CoS&amp;EC'!B:B,$F$20,'2-3-6. Travel Costs&amp;CoS&amp;EC'!X:X,"&lt;&gt;Error")+SUMIFS('4. Equipment Costs'!R:R,'4. Equipment Costs'!C:C,B25,'4. Equipment Costs'!B:B,$F$20,'4. Equipment Costs'!S:S,"&lt;&gt;Error")+SUMIFS('5. Subcontracting Costs'!R:R,'5. Subcontracting Costs'!C:C,B25,'5. Subcontracting Costs'!B:B,$F$20,'5. Subcontracting Costs'!S:S,"&lt;&gt;Error")</f>
        <v>0</v>
      </c>
      <c r="G25" s="343"/>
      <c r="H25" s="344"/>
      <c r="I25" s="342">
        <f>SUMIFS('1. Staff Costs'!P:P,'1. Staff Costs'!C:C,B25,'1. Staff Costs'!B:B,$I$20,'1. Staff Costs'!Q:Q,"&lt;&gt;Error")+SUMIFS('2-3-6. Travel Costs&amp;CoS&amp;EC'!W:W,'2-3-6. Travel Costs&amp;CoS&amp;EC'!C:C,B25,'2-3-6. Travel Costs&amp;CoS&amp;EC'!B:B,$I$20,'2-3-6. Travel Costs&amp;CoS&amp;EC'!X:X,"&lt;&gt;Error")+SUMIFS('4. Equipment Costs'!R:R,'4. Equipment Costs'!C:C,B25,'4. Equipment Costs'!B:B,$I$20,'4. Equipment Costs'!S:S,"&lt;&gt;Error")+SUMIFS('5. Subcontracting Costs'!R:R,'5. Subcontracting Costs'!C:C,B25,'5. Subcontracting Costs'!B:B,$I$20,'5. Subcontracting Costs'!S:S,"&lt;&gt;Error")</f>
        <v>13915.8</v>
      </c>
      <c r="J25" s="343"/>
      <c r="K25" s="344"/>
      <c r="L25" s="342">
        <f>SUMIFS('1. Staff Costs'!P:P,'1. Staff Costs'!C:C,B25,'1. Staff Costs'!B:B,$L$20,'1. Staff Costs'!Q:Q,"&lt;&gt;Error")+SUMIFS('2-3-6. Travel Costs&amp;CoS&amp;EC'!W:W,'2-3-6. Travel Costs&amp;CoS&amp;EC'!C:C,B25,'2-3-6. Travel Costs&amp;CoS&amp;EC'!B:B,$L$20,'2-3-6. Travel Costs&amp;CoS&amp;EC'!X:X,"&lt;&gt;Error")+SUMIFS('4. Equipment Costs'!R:R,'4. Equipment Costs'!C:C,B25,'4. Equipment Costs'!B:B,$L$20,'4. Equipment Costs'!S:S,"&lt;&gt;Error")+SUMIFS('5. Subcontracting Costs'!R:R,'5. Subcontracting Costs'!C:C,B25,'5. Subcontracting Costs'!B:B,$L$20,'5. Subcontracting Costs'!S:S,"&lt;&gt;Error")</f>
        <v>342</v>
      </c>
      <c r="M25" s="343"/>
      <c r="N25" s="344"/>
      <c r="O25" s="342">
        <f>SUMIFS('1. Staff Costs'!P:P,'1. Staff Costs'!C:C,B25,'1. Staff Costs'!B:B,$O$20,'1. Staff Costs'!Q:Q,"&lt;&gt;Error")+SUMIFS('2-3-6. Travel Costs&amp;CoS&amp;EC'!W:W,'2-3-6. Travel Costs&amp;CoS&amp;EC'!C:C,B25,'2-3-6. Travel Costs&amp;CoS&amp;EC'!B:B,$O$20,'2-3-6. Travel Costs&amp;CoS&amp;EC'!X:X,"&lt;&gt;Error")+SUMIFS('4. Equipment Costs'!R:R,'4. Equipment Costs'!C:C,B25,'4. Equipment Costs'!B:B,$O$20,'4. Equipment Costs'!S:S,"&lt;&gt;Error")+SUMIFS('5. Subcontracting Costs'!R:R,'5. Subcontracting Costs'!C:C,B25,'5. Subcontracting Costs'!B:B,$O$20,'5. Subcontracting Costs'!S:S,"&lt;&gt;Error")</f>
        <v>570</v>
      </c>
      <c r="P25" s="343"/>
      <c r="Q25" s="344"/>
      <c r="R25" s="342">
        <f>SUMIFS('1. Staff Costs'!P:P,'1. Staff Costs'!C:C,B25,'1. Staff Costs'!B:B,$R$20,'1. Staff Costs'!Q:Q,"&lt;&gt;Error")+SUMIFS('2-3-6. Travel Costs&amp;CoS&amp;EC'!W:W,'2-3-6. Travel Costs&amp;CoS&amp;EC'!C:C,B25,'2-3-6. Travel Costs&amp;CoS&amp;EC'!B:B,$R$20,'2-3-6. Travel Costs&amp;CoS&amp;EC'!X:X,"&lt;&gt;Error")+SUMIFS('4. Equipment Costs'!R:R,'4. Equipment Costs'!C:C,B25,'4. Equipment Costs'!B:B,$R$20,'4. Equipment Costs'!S:S,"&lt;&gt;Error")+SUMIFS('5. Subcontracting Costs'!R:R,'5. Subcontracting Costs'!C:C,B25,'5. Subcontracting Costs'!B:B,$R$20,'5. Subcontracting Costs'!S:S,"&lt;&gt;Error")</f>
        <v>0</v>
      </c>
      <c r="S25" s="343"/>
      <c r="T25" s="344"/>
      <c r="U25" s="185">
        <f t="shared" si="4"/>
        <v>14827.8</v>
      </c>
    </row>
    <row r="26" spans="2:21" x14ac:dyDescent="0.4">
      <c r="B26" s="208" t="s">
        <v>11</v>
      </c>
      <c r="C26" s="171" t="str">
        <f>IF('Final financial statement'!E28=0,"",'Final financial statement'!E28)</f>
        <v>Partner</v>
      </c>
      <c r="D26" s="336" t="str">
        <f>IF('Final financial statement'!D28=0,"",'Final financial statement'!D28)</f>
        <v>Peru</v>
      </c>
      <c r="E26" s="337"/>
      <c r="F26" s="342">
        <f>SUMIFS('1. Staff Costs'!P:P,'1. Staff Costs'!C:C,B26,'1. Staff Costs'!B:B,$F$20,'1. Staff Costs'!Q:Q,"&lt;&gt;Error")+SUMIFS('2-3-6. Travel Costs&amp;CoS&amp;EC'!W:W,'2-3-6. Travel Costs&amp;CoS&amp;EC'!C:C,B26,'2-3-6. Travel Costs&amp;CoS&amp;EC'!B:B,$F$20,'2-3-6. Travel Costs&amp;CoS&amp;EC'!X:X,"&lt;&gt;Error")+SUMIFS('4. Equipment Costs'!R:R,'4. Equipment Costs'!C:C,B26,'4. Equipment Costs'!B:B,$F$20,'4. Equipment Costs'!S:S,"&lt;&gt;Error")+SUMIFS('5. Subcontracting Costs'!R:R,'5. Subcontracting Costs'!C:C,B26,'5. Subcontracting Costs'!B:B,$F$20,'5. Subcontracting Costs'!S:S,"&lt;&gt;Error")</f>
        <v>1836</v>
      </c>
      <c r="G26" s="343"/>
      <c r="H26" s="344"/>
      <c r="I26" s="342">
        <f>SUMIFS('1. Staff Costs'!P:P,'1. Staff Costs'!C:C,B26,'1. Staff Costs'!B:B,$I$20,'1. Staff Costs'!Q:Q,"&lt;&gt;Error")+SUMIFS('2-3-6. Travel Costs&amp;CoS&amp;EC'!W:W,'2-3-6. Travel Costs&amp;CoS&amp;EC'!C:C,B26,'2-3-6. Travel Costs&amp;CoS&amp;EC'!B:B,$I$20,'2-3-6. Travel Costs&amp;CoS&amp;EC'!X:X,"&lt;&gt;Error")+SUMIFS('4. Equipment Costs'!R:R,'4. Equipment Costs'!C:C,B26,'4. Equipment Costs'!B:B,$I$20,'4. Equipment Costs'!S:S,"&lt;&gt;Error")+SUMIFS('5. Subcontracting Costs'!R:R,'5. Subcontracting Costs'!C:C,B26,'5. Subcontracting Costs'!B:B,$I$20,'5. Subcontracting Costs'!S:S,"&lt;&gt;Error")</f>
        <v>17494.84</v>
      </c>
      <c r="J26" s="343"/>
      <c r="K26" s="344"/>
      <c r="L26" s="342">
        <f>SUMIFS('1. Staff Costs'!P:P,'1. Staff Costs'!C:C,B26,'1. Staff Costs'!B:B,$L$20,'1. Staff Costs'!Q:Q,"&lt;&gt;Error")+SUMIFS('2-3-6. Travel Costs&amp;CoS&amp;EC'!W:W,'2-3-6. Travel Costs&amp;CoS&amp;EC'!C:C,B26,'2-3-6. Travel Costs&amp;CoS&amp;EC'!B:B,$L$20,'2-3-6. Travel Costs&amp;CoS&amp;EC'!X:X,"&lt;&gt;Error")+SUMIFS('4. Equipment Costs'!R:R,'4. Equipment Costs'!C:C,B26,'4. Equipment Costs'!B:B,$L$20,'4. Equipment Costs'!S:S,"&lt;&gt;Error")+SUMIFS('5. Subcontracting Costs'!R:R,'5. Subcontracting Costs'!C:C,B26,'5. Subcontracting Costs'!B:B,$L$20,'5. Subcontracting Costs'!S:S,"&lt;&gt;Error")</f>
        <v>320</v>
      </c>
      <c r="M26" s="343"/>
      <c r="N26" s="344"/>
      <c r="O26" s="342">
        <f>SUMIFS('1. Staff Costs'!P:P,'1. Staff Costs'!C:C,B26,'1. Staff Costs'!B:B,$O$20,'1. Staff Costs'!Q:Q,"&lt;&gt;Error")+SUMIFS('2-3-6. Travel Costs&amp;CoS&amp;EC'!W:W,'2-3-6. Travel Costs&amp;CoS&amp;EC'!C:C,B26,'2-3-6. Travel Costs&amp;CoS&amp;EC'!B:B,$O$20,'2-3-6. Travel Costs&amp;CoS&amp;EC'!X:X,"&lt;&gt;Error")+SUMIFS('4. Equipment Costs'!R:R,'4. Equipment Costs'!C:C,B26,'4. Equipment Costs'!B:B,$O$20,'4. Equipment Costs'!S:S,"&lt;&gt;Error")+SUMIFS('5. Subcontracting Costs'!R:R,'5. Subcontracting Costs'!C:C,B26,'5. Subcontracting Costs'!B:B,$O$20,'5. Subcontracting Costs'!S:S,"&lt;&gt;Error")</f>
        <v>160</v>
      </c>
      <c r="P26" s="343"/>
      <c r="Q26" s="344"/>
      <c r="R26" s="342">
        <f>SUMIFS('1. Staff Costs'!P:P,'1. Staff Costs'!C:C,B26,'1. Staff Costs'!B:B,$R$20,'1. Staff Costs'!Q:Q,"&lt;&gt;Error")+SUMIFS('2-3-6. Travel Costs&amp;CoS&amp;EC'!W:W,'2-3-6. Travel Costs&amp;CoS&amp;EC'!C:C,B26,'2-3-6. Travel Costs&amp;CoS&amp;EC'!B:B,$R$20,'2-3-6. Travel Costs&amp;CoS&amp;EC'!X:X,"&lt;&gt;Error")+SUMIFS('4. Equipment Costs'!R:R,'4. Equipment Costs'!C:C,B26,'4. Equipment Costs'!B:B,$R$20,'4. Equipment Costs'!S:S,"&lt;&gt;Error")+SUMIFS('5. Subcontracting Costs'!R:R,'5. Subcontracting Costs'!C:C,B26,'5. Subcontracting Costs'!B:B,$R$20,'5. Subcontracting Costs'!S:S,"&lt;&gt;Error")</f>
        <v>0</v>
      </c>
      <c r="S26" s="343"/>
      <c r="T26" s="344"/>
      <c r="U26" s="185">
        <f t="shared" si="4"/>
        <v>19810.84</v>
      </c>
    </row>
    <row r="27" spans="2:21" x14ac:dyDescent="0.4">
      <c r="B27" s="208" t="s">
        <v>12</v>
      </c>
      <c r="C27" s="171" t="str">
        <f>IF('Final financial statement'!E29=0,"",'Final financial statement'!E29)</f>
        <v>Partner</v>
      </c>
      <c r="D27" s="336" t="str">
        <f>IF('Final financial statement'!D29=0,"",'Final financial statement'!D29)</f>
        <v>Peru</v>
      </c>
      <c r="E27" s="337"/>
      <c r="F27" s="342">
        <f>SUMIFS('1. Staff Costs'!P:P,'1. Staff Costs'!C:C,B27,'1. Staff Costs'!B:B,$F$20,'1. Staff Costs'!Q:Q,"&lt;&gt;Error")+SUMIFS('2-3-6. Travel Costs&amp;CoS&amp;EC'!W:W,'2-3-6. Travel Costs&amp;CoS&amp;EC'!C:C,B27,'2-3-6. Travel Costs&amp;CoS&amp;EC'!B:B,$F$20,'2-3-6. Travel Costs&amp;CoS&amp;EC'!X:X,"&lt;&gt;Error")+SUMIFS('4. Equipment Costs'!R:R,'4. Equipment Costs'!C:C,B27,'4. Equipment Costs'!B:B,$F$20,'4. Equipment Costs'!S:S,"&lt;&gt;Error")+SUMIFS('5. Subcontracting Costs'!R:R,'5. Subcontracting Costs'!C:C,B27,'5. Subcontracting Costs'!B:B,$F$20,'5. Subcontracting Costs'!S:S,"&lt;&gt;Error")</f>
        <v>1770.16</v>
      </c>
      <c r="G27" s="343"/>
      <c r="H27" s="344"/>
      <c r="I27" s="342">
        <f>SUMIFS('1. Staff Costs'!P:P,'1. Staff Costs'!C:C,B27,'1. Staff Costs'!B:B,$I$20,'1. Staff Costs'!Q:Q,"&lt;&gt;Error")+SUMIFS('2-3-6. Travel Costs&amp;CoS&amp;EC'!W:W,'2-3-6. Travel Costs&amp;CoS&amp;EC'!C:C,B27,'2-3-6. Travel Costs&amp;CoS&amp;EC'!B:B,$I$20,'2-3-6. Travel Costs&amp;CoS&amp;EC'!X:X,"&lt;&gt;Error")+SUMIFS('4. Equipment Costs'!R:R,'4. Equipment Costs'!C:C,B27,'4. Equipment Costs'!B:B,$I$20,'4. Equipment Costs'!S:S,"&lt;&gt;Error")+SUMIFS('5. Subcontracting Costs'!R:R,'5. Subcontracting Costs'!C:C,B27,'5. Subcontracting Costs'!B:B,$I$20,'5. Subcontracting Costs'!S:S,"&lt;&gt;Error")</f>
        <v>31109.24</v>
      </c>
      <c r="J27" s="343"/>
      <c r="K27" s="344"/>
      <c r="L27" s="342">
        <f>SUMIFS('1. Staff Costs'!P:P,'1. Staff Costs'!C:C,B27,'1. Staff Costs'!B:B,$L$20,'1. Staff Costs'!Q:Q,"&lt;&gt;Error")+SUMIFS('2-3-6. Travel Costs&amp;CoS&amp;EC'!W:W,'2-3-6. Travel Costs&amp;CoS&amp;EC'!C:C,B27,'2-3-6. Travel Costs&amp;CoS&amp;EC'!B:B,$L$20,'2-3-6. Travel Costs&amp;CoS&amp;EC'!X:X,"&lt;&gt;Error")+SUMIFS('4. Equipment Costs'!R:R,'4. Equipment Costs'!C:C,B27,'4. Equipment Costs'!B:B,$L$20,'4. Equipment Costs'!S:S,"&lt;&gt;Error")+SUMIFS('5. Subcontracting Costs'!R:R,'5. Subcontracting Costs'!C:C,B27,'5. Subcontracting Costs'!B:B,$L$20,'5. Subcontracting Costs'!S:S,"&lt;&gt;Error")</f>
        <v>480</v>
      </c>
      <c r="M27" s="343"/>
      <c r="N27" s="344"/>
      <c r="O27" s="342">
        <f>SUMIFS('1. Staff Costs'!P:P,'1. Staff Costs'!C:C,B27,'1. Staff Costs'!B:B,$O$20,'1. Staff Costs'!Q:Q,"&lt;&gt;Error")+SUMIFS('2-3-6. Travel Costs&amp;CoS&amp;EC'!W:W,'2-3-6. Travel Costs&amp;CoS&amp;EC'!C:C,B27,'2-3-6. Travel Costs&amp;CoS&amp;EC'!B:B,$O$20,'2-3-6. Travel Costs&amp;CoS&amp;EC'!X:X,"&lt;&gt;Error")+SUMIFS('4. Equipment Costs'!R:R,'4. Equipment Costs'!C:C,B27,'4. Equipment Costs'!B:B,$O$20,'4. Equipment Costs'!S:S,"&lt;&gt;Error")+SUMIFS('5. Subcontracting Costs'!R:R,'5. Subcontracting Costs'!C:C,B27,'5. Subcontracting Costs'!B:B,$O$20,'5. Subcontracting Costs'!S:S,"&lt;&gt;Error")</f>
        <v>400</v>
      </c>
      <c r="P27" s="343"/>
      <c r="Q27" s="344"/>
      <c r="R27" s="342">
        <f>SUMIFS('1. Staff Costs'!P:P,'1. Staff Costs'!C:C,B27,'1. Staff Costs'!B:B,$R$20,'1. Staff Costs'!Q:Q,"&lt;&gt;Error")+SUMIFS('2-3-6. Travel Costs&amp;CoS&amp;EC'!W:W,'2-3-6. Travel Costs&amp;CoS&amp;EC'!C:C,B27,'2-3-6. Travel Costs&amp;CoS&amp;EC'!B:B,$R$20,'2-3-6. Travel Costs&amp;CoS&amp;EC'!X:X,"&lt;&gt;Error")+SUMIFS('4. Equipment Costs'!R:R,'4. Equipment Costs'!C:C,B27,'4. Equipment Costs'!B:B,$R$20,'4. Equipment Costs'!S:S,"&lt;&gt;Error")+SUMIFS('5. Subcontracting Costs'!R:R,'5. Subcontracting Costs'!C:C,B27,'5. Subcontracting Costs'!B:B,$R$20,'5. Subcontracting Costs'!S:S,"&lt;&gt;Error")</f>
        <v>0</v>
      </c>
      <c r="S27" s="343"/>
      <c r="T27" s="344"/>
      <c r="U27" s="185">
        <f t="shared" si="4"/>
        <v>33759.4</v>
      </c>
    </row>
    <row r="28" spans="2:21" x14ac:dyDescent="0.4">
      <c r="B28" s="208" t="s">
        <v>13</v>
      </c>
      <c r="C28" s="171" t="str">
        <f>IF('Final financial statement'!E30=0,"",'Final financial statement'!E30)</f>
        <v>Partner</v>
      </c>
      <c r="D28" s="336" t="str">
        <f>IF('Final financial statement'!D30=0,"",'Final financial statement'!D30)</f>
        <v>Venezuela</v>
      </c>
      <c r="E28" s="337"/>
      <c r="F28" s="342">
        <f>SUMIFS('1. Staff Costs'!P:P,'1. Staff Costs'!C:C,B28,'1. Staff Costs'!B:B,$F$20,'1. Staff Costs'!Q:Q,"&lt;&gt;Error")+SUMIFS('2-3-6. Travel Costs&amp;CoS&amp;EC'!W:W,'2-3-6. Travel Costs&amp;CoS&amp;EC'!C:C,B28,'2-3-6. Travel Costs&amp;CoS&amp;EC'!B:B,$F$20,'2-3-6. Travel Costs&amp;CoS&amp;EC'!X:X,"&lt;&gt;Error")+SUMIFS('4. Equipment Costs'!R:R,'4. Equipment Costs'!C:C,B28,'4. Equipment Costs'!B:B,$F$20,'4. Equipment Costs'!S:S,"&lt;&gt;Error")+SUMIFS('5. Subcontracting Costs'!R:R,'5. Subcontracting Costs'!C:C,B28,'5. Subcontracting Costs'!B:B,$F$20,'5. Subcontracting Costs'!S:S,"&lt;&gt;Error")</f>
        <v>400</v>
      </c>
      <c r="G28" s="343"/>
      <c r="H28" s="344"/>
      <c r="I28" s="342">
        <f>SUMIFS('1. Staff Costs'!P:P,'1. Staff Costs'!C:C,B28,'1. Staff Costs'!B:B,$I$20,'1. Staff Costs'!Q:Q,"&lt;&gt;Error")+SUMIFS('2-3-6. Travel Costs&amp;CoS&amp;EC'!W:W,'2-3-6. Travel Costs&amp;CoS&amp;EC'!C:C,B28,'2-3-6. Travel Costs&amp;CoS&amp;EC'!B:B,$I$20,'2-3-6. Travel Costs&amp;CoS&amp;EC'!X:X,"&lt;&gt;Error")+SUMIFS('4. Equipment Costs'!R:R,'4. Equipment Costs'!C:C,B28,'4. Equipment Costs'!B:B,$I$20,'4. Equipment Costs'!S:S,"&lt;&gt;Error")+SUMIFS('5. Subcontracting Costs'!R:R,'5. Subcontracting Costs'!C:C,B28,'5. Subcontracting Costs'!B:B,$I$20,'5. Subcontracting Costs'!S:S,"&lt;&gt;Error")</f>
        <v>880</v>
      </c>
      <c r="J28" s="343"/>
      <c r="K28" s="344"/>
      <c r="L28" s="342">
        <f>SUMIFS('1. Staff Costs'!P:P,'1. Staff Costs'!C:C,B28,'1. Staff Costs'!B:B,$L$20,'1. Staff Costs'!Q:Q,"&lt;&gt;Error")+SUMIFS('2-3-6. Travel Costs&amp;CoS&amp;EC'!W:W,'2-3-6. Travel Costs&amp;CoS&amp;EC'!C:C,B28,'2-3-6. Travel Costs&amp;CoS&amp;EC'!B:B,$L$20,'2-3-6. Travel Costs&amp;CoS&amp;EC'!X:X,"&lt;&gt;Error")+SUMIFS('4. Equipment Costs'!R:R,'4. Equipment Costs'!C:C,B28,'4. Equipment Costs'!B:B,$L$20,'4. Equipment Costs'!S:S,"&lt;&gt;Error")+SUMIFS('5. Subcontracting Costs'!R:R,'5. Subcontracting Costs'!C:C,B28,'5. Subcontracting Costs'!B:B,$L$20,'5. Subcontracting Costs'!S:S,"&lt;&gt;Error")</f>
        <v>400</v>
      </c>
      <c r="M28" s="343"/>
      <c r="N28" s="344"/>
      <c r="O28" s="342">
        <f>SUMIFS('1. Staff Costs'!P:P,'1. Staff Costs'!C:C,B28,'1. Staff Costs'!B:B,$O$20,'1. Staff Costs'!Q:Q,"&lt;&gt;Error")+SUMIFS('2-3-6. Travel Costs&amp;CoS&amp;EC'!W:W,'2-3-6. Travel Costs&amp;CoS&amp;EC'!C:C,B28,'2-3-6. Travel Costs&amp;CoS&amp;EC'!B:B,$O$20,'2-3-6. Travel Costs&amp;CoS&amp;EC'!X:X,"&lt;&gt;Error")+SUMIFS('4. Equipment Costs'!R:R,'4. Equipment Costs'!C:C,B28,'4. Equipment Costs'!B:B,$O$20,'4. Equipment Costs'!S:S,"&lt;&gt;Error")+SUMIFS('5. Subcontracting Costs'!R:R,'5. Subcontracting Costs'!C:C,B28,'5. Subcontracting Costs'!B:B,$O$20,'5. Subcontracting Costs'!S:S,"&lt;&gt;Error")</f>
        <v>1296</v>
      </c>
      <c r="P28" s="343"/>
      <c r="Q28" s="344"/>
      <c r="R28" s="342">
        <f>SUMIFS('1. Staff Costs'!P:P,'1. Staff Costs'!C:C,B28,'1. Staff Costs'!B:B,$R$20,'1. Staff Costs'!Q:Q,"&lt;&gt;Error")+SUMIFS('2-3-6. Travel Costs&amp;CoS&amp;EC'!W:W,'2-3-6. Travel Costs&amp;CoS&amp;EC'!C:C,B28,'2-3-6. Travel Costs&amp;CoS&amp;EC'!B:B,$R$20,'2-3-6. Travel Costs&amp;CoS&amp;EC'!X:X,"&lt;&gt;Error")+SUMIFS('4. Equipment Costs'!R:R,'4. Equipment Costs'!C:C,B28,'4. Equipment Costs'!B:B,$R$20,'4. Equipment Costs'!S:S,"&lt;&gt;Error")+SUMIFS('5. Subcontracting Costs'!R:R,'5. Subcontracting Costs'!C:C,B28,'5. Subcontracting Costs'!B:B,$R$20,'5. Subcontracting Costs'!S:S,"&lt;&gt;Error")</f>
        <v>0</v>
      </c>
      <c r="S28" s="343"/>
      <c r="T28" s="344"/>
      <c r="U28" s="185">
        <f t="shared" si="4"/>
        <v>2976</v>
      </c>
    </row>
    <row r="29" spans="2:21" x14ac:dyDescent="0.4">
      <c r="B29" s="208" t="s">
        <v>14</v>
      </c>
      <c r="C29" s="171" t="str">
        <f>IF('Final financial statement'!E31=0,"",'Final financial statement'!E31)</f>
        <v>Partner</v>
      </c>
      <c r="D29" s="336" t="str">
        <f>IF('Final financial statement'!D31=0,"",'Final financial statement'!D31)</f>
        <v>Venezuela</v>
      </c>
      <c r="E29" s="337"/>
      <c r="F29" s="342">
        <f>SUMIFS('1. Staff Costs'!P:P,'1. Staff Costs'!C:C,B29,'1. Staff Costs'!B:B,$F$20,'1. Staff Costs'!Q:Q,"&lt;&gt;Error")+SUMIFS('2-3-6. Travel Costs&amp;CoS&amp;EC'!W:W,'2-3-6. Travel Costs&amp;CoS&amp;EC'!C:C,B29,'2-3-6. Travel Costs&amp;CoS&amp;EC'!B:B,$F$20,'2-3-6. Travel Costs&amp;CoS&amp;EC'!X:X,"&lt;&gt;Error")+SUMIFS('4. Equipment Costs'!R:R,'4. Equipment Costs'!C:C,B29,'4. Equipment Costs'!B:B,$F$20,'4. Equipment Costs'!S:S,"&lt;&gt;Error")+SUMIFS('5. Subcontracting Costs'!R:R,'5. Subcontracting Costs'!C:C,B29,'5. Subcontracting Costs'!B:B,$F$20,'5. Subcontracting Costs'!S:S,"&lt;&gt;Error")</f>
        <v>400</v>
      </c>
      <c r="G29" s="343"/>
      <c r="H29" s="344"/>
      <c r="I29" s="342">
        <f>SUMIFS('1. Staff Costs'!P:P,'1. Staff Costs'!C:C,B29,'1. Staff Costs'!B:B,$I$20,'1. Staff Costs'!Q:Q,"&lt;&gt;Error")+SUMIFS('2-3-6. Travel Costs&amp;CoS&amp;EC'!W:W,'2-3-6. Travel Costs&amp;CoS&amp;EC'!C:C,B29,'2-3-6. Travel Costs&amp;CoS&amp;EC'!B:B,$I$20,'2-3-6. Travel Costs&amp;CoS&amp;EC'!X:X,"&lt;&gt;Error")+SUMIFS('4. Equipment Costs'!R:R,'4. Equipment Costs'!C:C,B29,'4. Equipment Costs'!B:B,$I$20,'4. Equipment Costs'!S:S,"&lt;&gt;Error")+SUMIFS('5. Subcontracting Costs'!R:R,'5. Subcontracting Costs'!C:C,B29,'5. Subcontracting Costs'!B:B,$I$20,'5. Subcontracting Costs'!S:S,"&lt;&gt;Error")</f>
        <v>880</v>
      </c>
      <c r="J29" s="343"/>
      <c r="K29" s="344"/>
      <c r="L29" s="342">
        <f>SUMIFS('1. Staff Costs'!P:P,'1. Staff Costs'!C:C,B29,'1. Staff Costs'!B:B,$L$20,'1. Staff Costs'!Q:Q,"&lt;&gt;Error")+SUMIFS('2-3-6. Travel Costs&amp;CoS&amp;EC'!W:W,'2-3-6. Travel Costs&amp;CoS&amp;EC'!C:C,B29,'2-3-6. Travel Costs&amp;CoS&amp;EC'!B:B,$L$20,'2-3-6. Travel Costs&amp;CoS&amp;EC'!X:X,"&lt;&gt;Error")+SUMIFS('4. Equipment Costs'!R:R,'4. Equipment Costs'!C:C,B29,'4. Equipment Costs'!B:B,$L$20,'4. Equipment Costs'!S:S,"&lt;&gt;Error")+SUMIFS('5. Subcontracting Costs'!R:R,'5. Subcontracting Costs'!C:C,B29,'5. Subcontracting Costs'!B:B,$L$20,'5. Subcontracting Costs'!S:S,"&lt;&gt;Error")</f>
        <v>400</v>
      </c>
      <c r="M29" s="343"/>
      <c r="N29" s="344"/>
      <c r="O29" s="342">
        <f>SUMIFS('1. Staff Costs'!P:P,'1. Staff Costs'!C:C,B29,'1. Staff Costs'!B:B,$O$20,'1. Staff Costs'!Q:Q,"&lt;&gt;Error")+SUMIFS('2-3-6. Travel Costs&amp;CoS&amp;EC'!W:W,'2-3-6. Travel Costs&amp;CoS&amp;EC'!C:C,B29,'2-3-6. Travel Costs&amp;CoS&amp;EC'!B:B,$O$20,'2-3-6. Travel Costs&amp;CoS&amp;EC'!X:X,"&lt;&gt;Error")+SUMIFS('4. Equipment Costs'!R:R,'4. Equipment Costs'!C:C,B29,'4. Equipment Costs'!B:B,$O$20,'4. Equipment Costs'!S:S,"&lt;&gt;Error")+SUMIFS('5. Subcontracting Costs'!R:R,'5. Subcontracting Costs'!C:C,B29,'5. Subcontracting Costs'!B:B,$O$20,'5. Subcontracting Costs'!S:S,"&lt;&gt;Error")</f>
        <v>1296</v>
      </c>
      <c r="P29" s="343"/>
      <c r="Q29" s="344"/>
      <c r="R29" s="342">
        <f>SUMIFS('1. Staff Costs'!P:P,'1. Staff Costs'!C:C,B29,'1. Staff Costs'!B:B,$R$20,'1. Staff Costs'!Q:Q,"&lt;&gt;Error")+SUMIFS('2-3-6. Travel Costs&amp;CoS&amp;EC'!W:W,'2-3-6. Travel Costs&amp;CoS&amp;EC'!C:C,B29,'2-3-6. Travel Costs&amp;CoS&amp;EC'!B:B,$R$20,'2-3-6. Travel Costs&amp;CoS&amp;EC'!X:X,"&lt;&gt;Error")+SUMIFS('4. Equipment Costs'!R:R,'4. Equipment Costs'!C:C,B29,'4. Equipment Costs'!B:B,$R$20,'4. Equipment Costs'!S:S,"&lt;&gt;Error")+SUMIFS('5. Subcontracting Costs'!R:R,'5. Subcontracting Costs'!C:C,B29,'5. Subcontracting Costs'!B:B,$R$20,'5. Subcontracting Costs'!S:S,"&lt;&gt;Error")</f>
        <v>0</v>
      </c>
      <c r="S29" s="343"/>
      <c r="T29" s="344"/>
      <c r="U29" s="185">
        <f t="shared" si="4"/>
        <v>2976</v>
      </c>
    </row>
    <row r="30" spans="2:21" x14ac:dyDescent="0.4">
      <c r="B30" s="208" t="s">
        <v>15</v>
      </c>
      <c r="C30" s="171" t="str">
        <f>IF('Final financial statement'!E32=0,"",'Final financial statement'!E32)</f>
        <v>Partner</v>
      </c>
      <c r="D30" s="336" t="str">
        <f>IF('Final financial statement'!D32=0,"",'Final financial statement'!D32)</f>
        <v>France</v>
      </c>
      <c r="E30" s="337"/>
      <c r="F30" s="342">
        <f>SUMIFS('1. Staff Costs'!P:P,'1. Staff Costs'!C:C,B30,'1. Staff Costs'!B:B,$F$20,'1. Staff Costs'!Q:Q,"&lt;&gt;Error")+SUMIFS('2-3-6. Travel Costs&amp;CoS&amp;EC'!W:W,'2-3-6. Travel Costs&amp;CoS&amp;EC'!C:C,B30,'2-3-6. Travel Costs&amp;CoS&amp;EC'!B:B,$F$20,'2-3-6. Travel Costs&amp;CoS&amp;EC'!X:X,"&lt;&gt;Error")+SUMIFS('4. Equipment Costs'!R:R,'4. Equipment Costs'!C:C,B30,'4. Equipment Costs'!B:B,$F$20,'4. Equipment Costs'!S:S,"&lt;&gt;Error")+SUMIFS('5. Subcontracting Costs'!R:R,'5. Subcontracting Costs'!C:C,B30,'5. Subcontracting Costs'!B:B,$F$20,'5. Subcontracting Costs'!S:S,"&lt;&gt;Error")</f>
        <v>0</v>
      </c>
      <c r="G30" s="343"/>
      <c r="H30" s="344"/>
      <c r="I30" s="342">
        <f>SUMIFS('1. Staff Costs'!P:P,'1. Staff Costs'!C:C,B30,'1. Staff Costs'!B:B,$I$20,'1. Staff Costs'!Q:Q,"&lt;&gt;Error")+SUMIFS('2-3-6. Travel Costs&amp;CoS&amp;EC'!W:W,'2-3-6. Travel Costs&amp;CoS&amp;EC'!C:C,B30,'2-3-6. Travel Costs&amp;CoS&amp;EC'!B:B,$I$20,'2-3-6. Travel Costs&amp;CoS&amp;EC'!X:X,"&lt;&gt;Error")+SUMIFS('4. Equipment Costs'!R:R,'4. Equipment Costs'!C:C,B30,'4. Equipment Costs'!B:B,$I$20,'4. Equipment Costs'!S:S,"&lt;&gt;Error")+SUMIFS('5. Subcontracting Costs'!R:R,'5. Subcontracting Costs'!C:C,B30,'5. Subcontracting Costs'!B:B,$I$20,'5. Subcontracting Costs'!S:S,"&lt;&gt;Error")</f>
        <v>1712</v>
      </c>
      <c r="J30" s="343"/>
      <c r="K30" s="344"/>
      <c r="L30" s="342">
        <f>SUMIFS('1. Staff Costs'!P:P,'1. Staff Costs'!C:C,B30,'1. Staff Costs'!B:B,$L$20,'1. Staff Costs'!Q:Q,"&lt;&gt;Error")+SUMIFS('2-3-6. Travel Costs&amp;CoS&amp;EC'!W:W,'2-3-6. Travel Costs&amp;CoS&amp;EC'!C:C,B30,'2-3-6. Travel Costs&amp;CoS&amp;EC'!B:B,$L$20,'2-3-6. Travel Costs&amp;CoS&amp;EC'!X:X,"&lt;&gt;Error")+SUMIFS('4. Equipment Costs'!R:R,'4. Equipment Costs'!C:C,B30,'4. Equipment Costs'!B:B,$L$20,'4. Equipment Costs'!S:S,"&lt;&gt;Error")+SUMIFS('5. Subcontracting Costs'!R:R,'5. Subcontracting Costs'!C:C,B30,'5. Subcontracting Costs'!B:B,$L$20,'5. Subcontracting Costs'!S:S,"&lt;&gt;Error")</f>
        <v>3360</v>
      </c>
      <c r="M30" s="343"/>
      <c r="N30" s="344"/>
      <c r="O30" s="342">
        <f>SUMIFS('1. Staff Costs'!P:P,'1. Staff Costs'!C:C,B30,'1. Staff Costs'!B:B,$O$20,'1. Staff Costs'!Q:Q,"&lt;&gt;Error")+SUMIFS('2-3-6. Travel Costs&amp;CoS&amp;EC'!W:W,'2-3-6. Travel Costs&amp;CoS&amp;EC'!C:C,B30,'2-3-6. Travel Costs&amp;CoS&amp;EC'!B:B,$O$20,'2-3-6. Travel Costs&amp;CoS&amp;EC'!X:X,"&lt;&gt;Error")+SUMIFS('4. Equipment Costs'!R:R,'4. Equipment Costs'!C:C,B30,'4. Equipment Costs'!B:B,$O$20,'4. Equipment Costs'!S:S,"&lt;&gt;Error")+SUMIFS('5. Subcontracting Costs'!R:R,'5. Subcontracting Costs'!C:C,B30,'5. Subcontracting Costs'!B:B,$O$20,'5. Subcontracting Costs'!S:S,"&lt;&gt;Error")</f>
        <v>642</v>
      </c>
      <c r="P30" s="343"/>
      <c r="Q30" s="344"/>
      <c r="R30" s="342">
        <f>SUMIFS('1. Staff Costs'!P:P,'1. Staff Costs'!C:C,B30,'1. Staff Costs'!B:B,$R$20,'1. Staff Costs'!Q:Q,"&lt;&gt;Error")+SUMIFS('2-3-6. Travel Costs&amp;CoS&amp;EC'!W:W,'2-3-6. Travel Costs&amp;CoS&amp;EC'!C:C,B30,'2-3-6. Travel Costs&amp;CoS&amp;EC'!B:B,$R$20,'2-3-6. Travel Costs&amp;CoS&amp;EC'!X:X,"&lt;&gt;Error")+SUMIFS('4. Equipment Costs'!R:R,'4. Equipment Costs'!C:C,B30,'4. Equipment Costs'!B:B,$R$20,'4. Equipment Costs'!S:S,"&lt;&gt;Error")+SUMIFS('5. Subcontracting Costs'!R:R,'5. Subcontracting Costs'!C:C,B30,'5. Subcontracting Costs'!B:B,$R$20,'5. Subcontracting Costs'!S:S,"&lt;&gt;Error")</f>
        <v>0</v>
      </c>
      <c r="S30" s="343"/>
      <c r="T30" s="344"/>
      <c r="U30" s="185">
        <f t="shared" si="4"/>
        <v>5714</v>
      </c>
    </row>
    <row r="31" spans="2:21" x14ac:dyDescent="0.4">
      <c r="B31" s="208" t="s">
        <v>16</v>
      </c>
      <c r="C31" s="171" t="str">
        <f>IF('Final financial statement'!E33=0,"",'Final financial statement'!E33)</f>
        <v>Partner</v>
      </c>
      <c r="D31" s="336" t="str">
        <f>IF('Final financial statement'!D33=0,"",'Final financial statement'!D33)</f>
        <v>Germany</v>
      </c>
      <c r="E31" s="337"/>
      <c r="F31" s="342">
        <f>SUMIFS('1. Staff Costs'!P:P,'1. Staff Costs'!C:C,B31,'1. Staff Costs'!B:B,$F$20,'1. Staff Costs'!Q:Q,"&lt;&gt;Error")+SUMIFS('2-3-6. Travel Costs&amp;CoS&amp;EC'!W:W,'2-3-6. Travel Costs&amp;CoS&amp;EC'!C:C,B31,'2-3-6. Travel Costs&amp;CoS&amp;EC'!B:B,$F$20,'2-3-6. Travel Costs&amp;CoS&amp;EC'!X:X,"&lt;&gt;Error")+SUMIFS('4. Equipment Costs'!R:R,'4. Equipment Costs'!C:C,B31,'4. Equipment Costs'!B:B,$F$20,'4. Equipment Costs'!S:S,"&lt;&gt;Error")+SUMIFS('5. Subcontracting Costs'!R:R,'5. Subcontracting Costs'!C:C,B31,'5. Subcontracting Costs'!B:B,$F$20,'5. Subcontracting Costs'!S:S,"&lt;&gt;Error")</f>
        <v>0</v>
      </c>
      <c r="G31" s="343"/>
      <c r="H31" s="344"/>
      <c r="I31" s="342">
        <f>SUMIFS('1. Staff Costs'!P:P,'1. Staff Costs'!C:C,B31,'1. Staff Costs'!B:B,$I$20,'1. Staff Costs'!Q:Q,"&lt;&gt;Error")+SUMIFS('2-3-6. Travel Costs&amp;CoS&amp;EC'!W:W,'2-3-6. Travel Costs&amp;CoS&amp;EC'!C:C,B31,'2-3-6. Travel Costs&amp;CoS&amp;EC'!B:B,$I$20,'2-3-6. Travel Costs&amp;CoS&amp;EC'!X:X,"&lt;&gt;Error")+SUMIFS('4. Equipment Costs'!R:R,'4. Equipment Costs'!C:C,B31,'4. Equipment Costs'!B:B,$I$20,'4. Equipment Costs'!S:S,"&lt;&gt;Error")+SUMIFS('5. Subcontracting Costs'!R:R,'5. Subcontracting Costs'!C:C,B31,'5. Subcontracting Costs'!B:B,$I$20,'5. Subcontracting Costs'!S:S,"&lt;&gt;Error")</f>
        <v>1498</v>
      </c>
      <c r="J31" s="343"/>
      <c r="K31" s="344"/>
      <c r="L31" s="342">
        <f>SUMIFS('1. Staff Costs'!P:P,'1. Staff Costs'!C:C,B31,'1. Staff Costs'!B:B,$L$20,'1. Staff Costs'!Q:Q,"&lt;&gt;Error")+SUMIFS('2-3-6. Travel Costs&amp;CoS&amp;EC'!W:W,'2-3-6. Travel Costs&amp;CoS&amp;EC'!C:C,B31,'2-3-6. Travel Costs&amp;CoS&amp;EC'!B:B,$L$20,'2-3-6. Travel Costs&amp;CoS&amp;EC'!X:X,"&lt;&gt;Error")+SUMIFS('4. Equipment Costs'!R:R,'4. Equipment Costs'!C:C,B31,'4. Equipment Costs'!B:B,$L$20,'4. Equipment Costs'!S:S,"&lt;&gt;Error")+SUMIFS('5. Subcontracting Costs'!R:R,'5. Subcontracting Costs'!C:C,B31,'5. Subcontracting Costs'!B:B,$L$20,'5. Subcontracting Costs'!S:S,"&lt;&gt;Error")</f>
        <v>428</v>
      </c>
      <c r="M31" s="343"/>
      <c r="N31" s="344"/>
      <c r="O31" s="342">
        <f>SUMIFS('1. Staff Costs'!P:P,'1. Staff Costs'!C:C,B31,'1. Staff Costs'!B:B,$O$20,'1. Staff Costs'!Q:Q,"&lt;&gt;Error")+SUMIFS('2-3-6. Travel Costs&amp;CoS&amp;EC'!W:W,'2-3-6. Travel Costs&amp;CoS&amp;EC'!C:C,B31,'2-3-6. Travel Costs&amp;CoS&amp;EC'!B:B,$O$20,'2-3-6. Travel Costs&amp;CoS&amp;EC'!X:X,"&lt;&gt;Error")+SUMIFS('4. Equipment Costs'!R:R,'4. Equipment Costs'!C:C,B31,'4. Equipment Costs'!B:B,$O$20,'4. Equipment Costs'!S:S,"&lt;&gt;Error")+SUMIFS('5. Subcontracting Costs'!R:R,'5. Subcontracting Costs'!C:C,B31,'5. Subcontracting Costs'!B:B,$O$20,'5. Subcontracting Costs'!S:S,"&lt;&gt;Error")</f>
        <v>1498</v>
      </c>
      <c r="P31" s="343"/>
      <c r="Q31" s="344"/>
      <c r="R31" s="342">
        <f>SUMIFS('1. Staff Costs'!P:P,'1. Staff Costs'!C:C,B31,'1. Staff Costs'!B:B,$R$20,'1. Staff Costs'!Q:Q,"&lt;&gt;Error")+SUMIFS('2-3-6. Travel Costs&amp;CoS&amp;EC'!W:W,'2-3-6. Travel Costs&amp;CoS&amp;EC'!C:C,B31,'2-3-6. Travel Costs&amp;CoS&amp;EC'!B:B,$R$20,'2-3-6. Travel Costs&amp;CoS&amp;EC'!X:X,"&lt;&gt;Error")+SUMIFS('4. Equipment Costs'!R:R,'4. Equipment Costs'!C:C,B31,'4. Equipment Costs'!B:B,$R$20,'4. Equipment Costs'!S:S,"&lt;&gt;Error")+SUMIFS('5. Subcontracting Costs'!R:R,'5. Subcontracting Costs'!C:C,B31,'5. Subcontracting Costs'!B:B,$R$20,'5. Subcontracting Costs'!S:S,"&lt;&gt;Error")</f>
        <v>2800</v>
      </c>
      <c r="S31" s="343"/>
      <c r="T31" s="344"/>
      <c r="U31" s="185">
        <f t="shared" si="4"/>
        <v>6224</v>
      </c>
    </row>
    <row r="32" spans="2:21" x14ac:dyDescent="0.4">
      <c r="B32" s="208" t="s">
        <v>17</v>
      </c>
      <c r="C32" s="171" t="str">
        <f>IF('Final financial statement'!E34=0,"",'Final financial statement'!E34)</f>
        <v/>
      </c>
      <c r="D32" s="336" t="str">
        <f>IF('Final financial statement'!D34=0,"",'Final financial statement'!D34)</f>
        <v/>
      </c>
      <c r="E32" s="337"/>
      <c r="F32" s="342">
        <f>SUMIFS('1. Staff Costs'!P:P,'1. Staff Costs'!C:C,B32,'1. Staff Costs'!B:B,$F$20,'1. Staff Costs'!Q:Q,"&lt;&gt;Error")+SUMIFS('2-3-6. Travel Costs&amp;CoS&amp;EC'!W:W,'2-3-6. Travel Costs&amp;CoS&amp;EC'!C:C,B32,'2-3-6. Travel Costs&amp;CoS&amp;EC'!B:B,$F$20,'2-3-6. Travel Costs&amp;CoS&amp;EC'!X:X,"&lt;&gt;Error")+SUMIFS('4. Equipment Costs'!R:R,'4. Equipment Costs'!C:C,B32,'4. Equipment Costs'!B:B,$F$20,'4. Equipment Costs'!S:S,"&lt;&gt;Error")+SUMIFS('5. Subcontracting Costs'!R:R,'5. Subcontracting Costs'!C:C,B32,'5. Subcontracting Costs'!B:B,$F$20,'5. Subcontracting Costs'!S:S,"&lt;&gt;Error")</f>
        <v>0</v>
      </c>
      <c r="G32" s="343"/>
      <c r="H32" s="344"/>
      <c r="I32" s="342">
        <f>SUMIFS('1. Staff Costs'!P:P,'1. Staff Costs'!C:C,B32,'1. Staff Costs'!B:B,$I$20,'1. Staff Costs'!Q:Q,"&lt;&gt;Error")+SUMIFS('2-3-6. Travel Costs&amp;CoS&amp;EC'!W:W,'2-3-6. Travel Costs&amp;CoS&amp;EC'!C:C,B32,'2-3-6. Travel Costs&amp;CoS&amp;EC'!B:B,$I$20,'2-3-6. Travel Costs&amp;CoS&amp;EC'!X:X,"&lt;&gt;Error")+SUMIFS('4. Equipment Costs'!R:R,'4. Equipment Costs'!C:C,B32,'4. Equipment Costs'!B:B,$I$20,'4. Equipment Costs'!S:S,"&lt;&gt;Error")+SUMIFS('5. Subcontracting Costs'!R:R,'5. Subcontracting Costs'!C:C,B32,'5. Subcontracting Costs'!B:B,$I$20,'5. Subcontracting Costs'!S:S,"&lt;&gt;Error")</f>
        <v>0</v>
      </c>
      <c r="J32" s="343"/>
      <c r="K32" s="344"/>
      <c r="L32" s="342">
        <f>SUMIFS('1. Staff Costs'!P:P,'1. Staff Costs'!C:C,B32,'1. Staff Costs'!B:B,$L$20,'1. Staff Costs'!Q:Q,"&lt;&gt;Error")+SUMIFS('2-3-6. Travel Costs&amp;CoS&amp;EC'!W:W,'2-3-6. Travel Costs&amp;CoS&amp;EC'!C:C,B32,'2-3-6. Travel Costs&amp;CoS&amp;EC'!B:B,$L$20,'2-3-6. Travel Costs&amp;CoS&amp;EC'!X:X,"&lt;&gt;Error")+SUMIFS('4. Equipment Costs'!R:R,'4. Equipment Costs'!C:C,B32,'4. Equipment Costs'!B:B,$L$20,'4. Equipment Costs'!S:S,"&lt;&gt;Error")+SUMIFS('5. Subcontracting Costs'!R:R,'5. Subcontracting Costs'!C:C,B32,'5. Subcontracting Costs'!B:B,$L$20,'5. Subcontracting Costs'!S:S,"&lt;&gt;Error")</f>
        <v>0</v>
      </c>
      <c r="M32" s="343"/>
      <c r="N32" s="344"/>
      <c r="O32" s="342">
        <f>SUMIFS('1. Staff Costs'!P:P,'1. Staff Costs'!C:C,B32,'1. Staff Costs'!B:B,$O$20,'1. Staff Costs'!Q:Q,"&lt;&gt;Error")+SUMIFS('2-3-6. Travel Costs&amp;CoS&amp;EC'!W:W,'2-3-6. Travel Costs&amp;CoS&amp;EC'!C:C,B32,'2-3-6. Travel Costs&amp;CoS&amp;EC'!B:B,$O$20,'2-3-6. Travel Costs&amp;CoS&amp;EC'!X:X,"&lt;&gt;Error")+SUMIFS('4. Equipment Costs'!R:R,'4. Equipment Costs'!C:C,B32,'4. Equipment Costs'!B:B,$O$20,'4. Equipment Costs'!S:S,"&lt;&gt;Error")+SUMIFS('5. Subcontracting Costs'!R:R,'5. Subcontracting Costs'!C:C,B32,'5. Subcontracting Costs'!B:B,$O$20,'5. Subcontracting Costs'!S:S,"&lt;&gt;Error")</f>
        <v>0</v>
      </c>
      <c r="P32" s="343"/>
      <c r="Q32" s="344"/>
      <c r="R32" s="342">
        <f>SUMIFS('1. Staff Costs'!P:P,'1. Staff Costs'!C:C,B32,'1. Staff Costs'!B:B,$R$20,'1. Staff Costs'!Q:Q,"&lt;&gt;Error")+SUMIFS('2-3-6. Travel Costs&amp;CoS&amp;EC'!W:W,'2-3-6. Travel Costs&amp;CoS&amp;EC'!C:C,B32,'2-3-6. Travel Costs&amp;CoS&amp;EC'!B:B,$R$20,'2-3-6. Travel Costs&amp;CoS&amp;EC'!X:X,"&lt;&gt;Error")+SUMIFS('4. Equipment Costs'!R:R,'4. Equipment Costs'!C:C,B32,'4. Equipment Costs'!B:B,$R$20,'4. Equipment Costs'!S:S,"&lt;&gt;Error")+SUMIFS('5. Subcontracting Costs'!R:R,'5. Subcontracting Costs'!C:C,B32,'5. Subcontracting Costs'!B:B,$R$20,'5. Subcontracting Costs'!S:S,"&lt;&gt;Error")</f>
        <v>0</v>
      </c>
      <c r="S32" s="343"/>
      <c r="T32" s="344"/>
      <c r="U32" s="185">
        <f t="shared" si="4"/>
        <v>0</v>
      </c>
    </row>
    <row r="33" spans="2:21" x14ac:dyDescent="0.4">
      <c r="B33" s="208" t="s">
        <v>145</v>
      </c>
      <c r="C33" s="171" t="str">
        <f>IF('Final financial statement'!E35=0,"",'Final financial statement'!E35)</f>
        <v/>
      </c>
      <c r="D33" s="336" t="str">
        <f>IF('Final financial statement'!D35=0,"",'Final financial statement'!D35)</f>
        <v/>
      </c>
      <c r="E33" s="337"/>
      <c r="F33" s="342">
        <f>SUMIFS('1. Staff Costs'!P:P,'1. Staff Costs'!C:C,B33,'1. Staff Costs'!B:B,$F$20,'1. Staff Costs'!Q:Q,"&lt;&gt;Error")+SUMIFS('2-3-6. Travel Costs&amp;CoS&amp;EC'!W:W,'2-3-6. Travel Costs&amp;CoS&amp;EC'!C:C,B33,'2-3-6. Travel Costs&amp;CoS&amp;EC'!B:B,$F$20,'2-3-6. Travel Costs&amp;CoS&amp;EC'!X:X,"&lt;&gt;Error")+SUMIFS('4. Equipment Costs'!R:R,'4. Equipment Costs'!C:C,B33,'4. Equipment Costs'!B:B,$F$20,'4. Equipment Costs'!S:S,"&lt;&gt;Error")+SUMIFS('5. Subcontracting Costs'!R:R,'5. Subcontracting Costs'!C:C,B33,'5. Subcontracting Costs'!B:B,$F$20,'5. Subcontracting Costs'!S:S,"&lt;&gt;Error")</f>
        <v>0</v>
      </c>
      <c r="G33" s="343"/>
      <c r="H33" s="344"/>
      <c r="I33" s="342">
        <f>SUMIFS('1. Staff Costs'!P:P,'1. Staff Costs'!C:C,B33,'1. Staff Costs'!B:B,$I$20,'1. Staff Costs'!Q:Q,"&lt;&gt;Error")+SUMIFS('2-3-6. Travel Costs&amp;CoS&amp;EC'!W:W,'2-3-6. Travel Costs&amp;CoS&amp;EC'!C:C,B33,'2-3-6. Travel Costs&amp;CoS&amp;EC'!B:B,$I$20,'2-3-6. Travel Costs&amp;CoS&amp;EC'!X:X,"&lt;&gt;Error")+SUMIFS('4. Equipment Costs'!R:R,'4. Equipment Costs'!C:C,B33,'4. Equipment Costs'!B:B,$I$20,'4. Equipment Costs'!S:S,"&lt;&gt;Error")+SUMIFS('5. Subcontracting Costs'!R:R,'5. Subcontracting Costs'!C:C,B33,'5. Subcontracting Costs'!B:B,$I$20,'5. Subcontracting Costs'!S:S,"&lt;&gt;Error")</f>
        <v>0</v>
      </c>
      <c r="J33" s="343"/>
      <c r="K33" s="344"/>
      <c r="L33" s="342">
        <f>SUMIFS('1. Staff Costs'!P:P,'1. Staff Costs'!C:C,B33,'1. Staff Costs'!B:B,$L$20,'1. Staff Costs'!Q:Q,"&lt;&gt;Error")+SUMIFS('2-3-6. Travel Costs&amp;CoS&amp;EC'!W:W,'2-3-6. Travel Costs&amp;CoS&amp;EC'!C:C,B33,'2-3-6. Travel Costs&amp;CoS&amp;EC'!B:B,$L$20,'2-3-6. Travel Costs&amp;CoS&amp;EC'!X:X,"&lt;&gt;Error")+SUMIFS('4. Equipment Costs'!R:R,'4. Equipment Costs'!C:C,B33,'4. Equipment Costs'!B:B,$L$20,'4. Equipment Costs'!S:S,"&lt;&gt;Error")+SUMIFS('5. Subcontracting Costs'!R:R,'5. Subcontracting Costs'!C:C,B33,'5. Subcontracting Costs'!B:B,$L$20,'5. Subcontracting Costs'!S:S,"&lt;&gt;Error")</f>
        <v>0</v>
      </c>
      <c r="M33" s="343"/>
      <c r="N33" s="344"/>
      <c r="O33" s="342">
        <f>SUMIFS('1. Staff Costs'!P:P,'1. Staff Costs'!C:C,B33,'1. Staff Costs'!B:B,$O$20,'1. Staff Costs'!Q:Q,"&lt;&gt;Error")+SUMIFS('2-3-6. Travel Costs&amp;CoS&amp;EC'!W:W,'2-3-6. Travel Costs&amp;CoS&amp;EC'!C:C,B33,'2-3-6. Travel Costs&amp;CoS&amp;EC'!B:B,$O$20,'2-3-6. Travel Costs&amp;CoS&amp;EC'!X:X,"&lt;&gt;Error")+SUMIFS('4. Equipment Costs'!R:R,'4. Equipment Costs'!C:C,B33,'4. Equipment Costs'!B:B,$O$20,'4. Equipment Costs'!S:S,"&lt;&gt;Error")+SUMIFS('5. Subcontracting Costs'!R:R,'5. Subcontracting Costs'!C:C,B33,'5. Subcontracting Costs'!B:B,$O$20,'5. Subcontracting Costs'!S:S,"&lt;&gt;Error")</f>
        <v>0</v>
      </c>
      <c r="P33" s="343"/>
      <c r="Q33" s="344"/>
      <c r="R33" s="342">
        <f>SUMIFS('1. Staff Costs'!P:P,'1. Staff Costs'!C:C,B33,'1. Staff Costs'!B:B,$R$20,'1. Staff Costs'!Q:Q,"&lt;&gt;Error")+SUMIFS('2-3-6. Travel Costs&amp;CoS&amp;EC'!W:W,'2-3-6. Travel Costs&amp;CoS&amp;EC'!C:C,B33,'2-3-6. Travel Costs&amp;CoS&amp;EC'!B:B,$R$20,'2-3-6. Travel Costs&amp;CoS&amp;EC'!X:X,"&lt;&gt;Error")+SUMIFS('4. Equipment Costs'!R:R,'4. Equipment Costs'!C:C,B33,'4. Equipment Costs'!B:B,$R$20,'4. Equipment Costs'!S:S,"&lt;&gt;Error")+SUMIFS('5. Subcontracting Costs'!R:R,'5. Subcontracting Costs'!C:C,B33,'5. Subcontracting Costs'!B:B,$R$20,'5. Subcontracting Costs'!S:S,"&lt;&gt;Error")</f>
        <v>0</v>
      </c>
      <c r="S33" s="343"/>
      <c r="T33" s="344"/>
      <c r="U33" s="185">
        <f t="shared" si="4"/>
        <v>0</v>
      </c>
    </row>
    <row r="34" spans="2:21" x14ac:dyDescent="0.4">
      <c r="B34" s="208" t="s">
        <v>18</v>
      </c>
      <c r="C34" s="171" t="str">
        <f>IF('Final financial statement'!E36=0,"",'Final financial statement'!E36)</f>
        <v/>
      </c>
      <c r="D34" s="336" t="str">
        <f>IF('Final financial statement'!D36=0,"",'Final financial statement'!D36)</f>
        <v/>
      </c>
      <c r="E34" s="337"/>
      <c r="F34" s="342">
        <f>SUMIFS('1. Staff Costs'!P:P,'1. Staff Costs'!C:C,B34,'1. Staff Costs'!B:B,$F$20,'1. Staff Costs'!Q:Q,"&lt;&gt;Error")+SUMIFS('2-3-6. Travel Costs&amp;CoS&amp;EC'!W:W,'2-3-6. Travel Costs&amp;CoS&amp;EC'!C:C,B34,'2-3-6. Travel Costs&amp;CoS&amp;EC'!B:B,$F$20,'2-3-6. Travel Costs&amp;CoS&amp;EC'!X:X,"&lt;&gt;Error")+SUMIFS('4. Equipment Costs'!R:R,'4. Equipment Costs'!C:C,B34,'4. Equipment Costs'!B:B,$F$20,'4. Equipment Costs'!S:S,"&lt;&gt;Error")+SUMIFS('5. Subcontracting Costs'!R:R,'5. Subcontracting Costs'!C:C,B34,'5. Subcontracting Costs'!B:B,$F$20,'5. Subcontracting Costs'!S:S,"&lt;&gt;Error")</f>
        <v>0</v>
      </c>
      <c r="G34" s="343"/>
      <c r="H34" s="344"/>
      <c r="I34" s="342">
        <f>SUMIFS('1. Staff Costs'!P:P,'1. Staff Costs'!C:C,B34,'1. Staff Costs'!B:B,$I$20,'1. Staff Costs'!Q:Q,"&lt;&gt;Error")+SUMIFS('2-3-6. Travel Costs&amp;CoS&amp;EC'!W:W,'2-3-6. Travel Costs&amp;CoS&amp;EC'!C:C,B34,'2-3-6. Travel Costs&amp;CoS&amp;EC'!B:B,$I$20,'2-3-6. Travel Costs&amp;CoS&amp;EC'!X:X,"&lt;&gt;Error")+SUMIFS('4. Equipment Costs'!R:R,'4. Equipment Costs'!C:C,B34,'4. Equipment Costs'!B:B,$I$20,'4. Equipment Costs'!S:S,"&lt;&gt;Error")+SUMIFS('5. Subcontracting Costs'!R:R,'5. Subcontracting Costs'!C:C,B34,'5. Subcontracting Costs'!B:B,$I$20,'5. Subcontracting Costs'!S:S,"&lt;&gt;Error")</f>
        <v>0</v>
      </c>
      <c r="J34" s="343"/>
      <c r="K34" s="344"/>
      <c r="L34" s="342">
        <f>SUMIFS('1. Staff Costs'!P:P,'1. Staff Costs'!C:C,B34,'1. Staff Costs'!B:B,$L$20,'1. Staff Costs'!Q:Q,"&lt;&gt;Error")+SUMIFS('2-3-6. Travel Costs&amp;CoS&amp;EC'!W:W,'2-3-6. Travel Costs&amp;CoS&amp;EC'!C:C,B34,'2-3-6. Travel Costs&amp;CoS&amp;EC'!B:B,$L$20,'2-3-6. Travel Costs&amp;CoS&amp;EC'!X:X,"&lt;&gt;Error")+SUMIFS('4. Equipment Costs'!R:R,'4. Equipment Costs'!C:C,B34,'4. Equipment Costs'!B:B,$L$20,'4. Equipment Costs'!S:S,"&lt;&gt;Error")+SUMIFS('5. Subcontracting Costs'!R:R,'5. Subcontracting Costs'!C:C,B34,'5. Subcontracting Costs'!B:B,$L$20,'5. Subcontracting Costs'!S:S,"&lt;&gt;Error")</f>
        <v>0</v>
      </c>
      <c r="M34" s="343"/>
      <c r="N34" s="344"/>
      <c r="O34" s="342">
        <f>SUMIFS('1. Staff Costs'!P:P,'1. Staff Costs'!C:C,B34,'1. Staff Costs'!B:B,$O$20,'1. Staff Costs'!Q:Q,"&lt;&gt;Error")+SUMIFS('2-3-6. Travel Costs&amp;CoS&amp;EC'!W:W,'2-3-6. Travel Costs&amp;CoS&amp;EC'!C:C,B34,'2-3-6. Travel Costs&amp;CoS&amp;EC'!B:B,$O$20,'2-3-6. Travel Costs&amp;CoS&amp;EC'!X:X,"&lt;&gt;Error")+SUMIFS('4. Equipment Costs'!R:R,'4. Equipment Costs'!C:C,B34,'4. Equipment Costs'!B:B,$O$20,'4. Equipment Costs'!S:S,"&lt;&gt;Error")+SUMIFS('5. Subcontracting Costs'!R:R,'5. Subcontracting Costs'!C:C,B34,'5. Subcontracting Costs'!B:B,$O$20,'5. Subcontracting Costs'!S:S,"&lt;&gt;Error")</f>
        <v>0</v>
      </c>
      <c r="P34" s="343"/>
      <c r="Q34" s="344"/>
      <c r="R34" s="342">
        <f>SUMIFS('1. Staff Costs'!P:P,'1. Staff Costs'!C:C,B34,'1. Staff Costs'!B:B,$R$20,'1. Staff Costs'!Q:Q,"&lt;&gt;Error")+SUMIFS('2-3-6. Travel Costs&amp;CoS&amp;EC'!W:W,'2-3-6. Travel Costs&amp;CoS&amp;EC'!C:C,B34,'2-3-6. Travel Costs&amp;CoS&amp;EC'!B:B,$R$20,'2-3-6. Travel Costs&amp;CoS&amp;EC'!X:X,"&lt;&gt;Error")+SUMIFS('4. Equipment Costs'!R:R,'4. Equipment Costs'!C:C,B34,'4. Equipment Costs'!B:B,$R$20,'4. Equipment Costs'!S:S,"&lt;&gt;Error")+SUMIFS('5. Subcontracting Costs'!R:R,'5. Subcontracting Costs'!C:C,B34,'5. Subcontracting Costs'!B:B,$R$20,'5. Subcontracting Costs'!S:S,"&lt;&gt;Error")</f>
        <v>0</v>
      </c>
      <c r="S34" s="343"/>
      <c r="T34" s="344"/>
      <c r="U34" s="185">
        <f t="shared" si="4"/>
        <v>0</v>
      </c>
    </row>
    <row r="35" spans="2:21" x14ac:dyDescent="0.4">
      <c r="B35" s="208" t="s">
        <v>19</v>
      </c>
      <c r="C35" s="171" t="str">
        <f>IF('Final financial statement'!E37=0,"",'Final financial statement'!E37)</f>
        <v/>
      </c>
      <c r="D35" s="336" t="str">
        <f>IF('Final financial statement'!D37=0,"",'Final financial statement'!D37)</f>
        <v/>
      </c>
      <c r="E35" s="337"/>
      <c r="F35" s="342">
        <f>SUMIFS('1. Staff Costs'!P:P,'1. Staff Costs'!C:C,B35,'1. Staff Costs'!B:B,$F$20,'1. Staff Costs'!Q:Q,"&lt;&gt;Error")+SUMIFS('2-3-6. Travel Costs&amp;CoS&amp;EC'!W:W,'2-3-6. Travel Costs&amp;CoS&amp;EC'!C:C,B35,'2-3-6. Travel Costs&amp;CoS&amp;EC'!B:B,$F$20,'2-3-6. Travel Costs&amp;CoS&amp;EC'!X:X,"&lt;&gt;Error")+SUMIFS('4. Equipment Costs'!R:R,'4. Equipment Costs'!C:C,B35,'4. Equipment Costs'!B:B,$F$20,'4. Equipment Costs'!S:S,"&lt;&gt;Error")+SUMIFS('5. Subcontracting Costs'!R:R,'5. Subcontracting Costs'!C:C,B35,'5. Subcontracting Costs'!B:B,$F$20,'5. Subcontracting Costs'!S:S,"&lt;&gt;Error")</f>
        <v>0</v>
      </c>
      <c r="G35" s="343"/>
      <c r="H35" s="344"/>
      <c r="I35" s="342">
        <f>SUMIFS('1. Staff Costs'!P:P,'1. Staff Costs'!C:C,B35,'1. Staff Costs'!B:B,$I$20,'1. Staff Costs'!Q:Q,"&lt;&gt;Error")+SUMIFS('2-3-6. Travel Costs&amp;CoS&amp;EC'!W:W,'2-3-6. Travel Costs&amp;CoS&amp;EC'!C:C,B35,'2-3-6. Travel Costs&amp;CoS&amp;EC'!B:B,$I$20,'2-3-6. Travel Costs&amp;CoS&amp;EC'!X:X,"&lt;&gt;Error")+SUMIFS('4. Equipment Costs'!R:R,'4. Equipment Costs'!C:C,B35,'4. Equipment Costs'!B:B,$I$20,'4. Equipment Costs'!S:S,"&lt;&gt;Error")+SUMIFS('5. Subcontracting Costs'!R:R,'5. Subcontracting Costs'!C:C,B35,'5. Subcontracting Costs'!B:B,$I$20,'5. Subcontracting Costs'!S:S,"&lt;&gt;Error")</f>
        <v>0</v>
      </c>
      <c r="J35" s="343"/>
      <c r="K35" s="344"/>
      <c r="L35" s="342">
        <f>SUMIFS('1. Staff Costs'!P:P,'1. Staff Costs'!C:C,B35,'1. Staff Costs'!B:B,$L$20,'1. Staff Costs'!Q:Q,"&lt;&gt;Error")+SUMIFS('2-3-6. Travel Costs&amp;CoS&amp;EC'!W:W,'2-3-6. Travel Costs&amp;CoS&amp;EC'!C:C,B35,'2-3-6. Travel Costs&amp;CoS&amp;EC'!B:B,$L$20,'2-3-6. Travel Costs&amp;CoS&amp;EC'!X:X,"&lt;&gt;Error")+SUMIFS('4. Equipment Costs'!R:R,'4. Equipment Costs'!C:C,B35,'4. Equipment Costs'!B:B,$L$20,'4. Equipment Costs'!S:S,"&lt;&gt;Error")+SUMIFS('5. Subcontracting Costs'!R:R,'5. Subcontracting Costs'!C:C,B35,'5. Subcontracting Costs'!B:B,$L$20,'5. Subcontracting Costs'!S:S,"&lt;&gt;Error")</f>
        <v>0</v>
      </c>
      <c r="M35" s="343"/>
      <c r="N35" s="344"/>
      <c r="O35" s="342">
        <f>SUMIFS('1. Staff Costs'!P:P,'1. Staff Costs'!C:C,B35,'1. Staff Costs'!B:B,$O$20,'1. Staff Costs'!Q:Q,"&lt;&gt;Error")+SUMIFS('2-3-6. Travel Costs&amp;CoS&amp;EC'!W:W,'2-3-6. Travel Costs&amp;CoS&amp;EC'!C:C,B35,'2-3-6. Travel Costs&amp;CoS&amp;EC'!B:B,$O$20,'2-3-6. Travel Costs&amp;CoS&amp;EC'!X:X,"&lt;&gt;Error")+SUMIFS('4. Equipment Costs'!R:R,'4. Equipment Costs'!C:C,B35,'4. Equipment Costs'!B:B,$O$20,'4. Equipment Costs'!S:S,"&lt;&gt;Error")+SUMIFS('5. Subcontracting Costs'!R:R,'5. Subcontracting Costs'!C:C,B35,'5. Subcontracting Costs'!B:B,$O$20,'5. Subcontracting Costs'!S:S,"&lt;&gt;Error")</f>
        <v>0</v>
      </c>
      <c r="P35" s="343"/>
      <c r="Q35" s="344"/>
      <c r="R35" s="342">
        <f>SUMIFS('1. Staff Costs'!P:P,'1. Staff Costs'!C:C,B35,'1. Staff Costs'!B:B,$R$20,'1. Staff Costs'!Q:Q,"&lt;&gt;Error")+SUMIFS('2-3-6. Travel Costs&amp;CoS&amp;EC'!W:W,'2-3-6. Travel Costs&amp;CoS&amp;EC'!C:C,B35,'2-3-6. Travel Costs&amp;CoS&amp;EC'!B:B,$R$20,'2-3-6. Travel Costs&amp;CoS&amp;EC'!X:X,"&lt;&gt;Error")+SUMIFS('4. Equipment Costs'!R:R,'4. Equipment Costs'!C:C,B35,'4. Equipment Costs'!B:B,$R$20,'4. Equipment Costs'!S:S,"&lt;&gt;Error")+SUMIFS('5. Subcontracting Costs'!R:R,'5. Subcontracting Costs'!C:C,B35,'5. Subcontracting Costs'!B:B,$R$20,'5. Subcontracting Costs'!S:S,"&lt;&gt;Error")</f>
        <v>0</v>
      </c>
      <c r="S35" s="343"/>
      <c r="T35" s="344"/>
      <c r="U35" s="185">
        <f t="shared" si="4"/>
        <v>0</v>
      </c>
    </row>
    <row r="36" spans="2:21" x14ac:dyDescent="0.4">
      <c r="B36" s="208" t="s">
        <v>20</v>
      </c>
      <c r="C36" s="171" t="str">
        <f>IF('Final financial statement'!E38=0,"",'Final financial statement'!E38)</f>
        <v/>
      </c>
      <c r="D36" s="336" t="str">
        <f>IF('Final financial statement'!D38=0,"",'Final financial statement'!D38)</f>
        <v/>
      </c>
      <c r="E36" s="337"/>
      <c r="F36" s="342">
        <f>SUMIFS('1. Staff Costs'!P:P,'1. Staff Costs'!C:C,B36,'1. Staff Costs'!B:B,$F$20,'1. Staff Costs'!Q:Q,"&lt;&gt;Error")+SUMIFS('2-3-6. Travel Costs&amp;CoS&amp;EC'!W:W,'2-3-6. Travel Costs&amp;CoS&amp;EC'!C:C,B36,'2-3-6. Travel Costs&amp;CoS&amp;EC'!B:B,$F$20,'2-3-6. Travel Costs&amp;CoS&amp;EC'!X:X,"&lt;&gt;Error")+SUMIFS('4. Equipment Costs'!R:R,'4. Equipment Costs'!C:C,B36,'4. Equipment Costs'!B:B,$F$20,'4. Equipment Costs'!S:S,"&lt;&gt;Error")+SUMIFS('5. Subcontracting Costs'!R:R,'5. Subcontracting Costs'!C:C,B36,'5. Subcontracting Costs'!B:B,$F$20,'5. Subcontracting Costs'!S:S,"&lt;&gt;Error")</f>
        <v>0</v>
      </c>
      <c r="G36" s="343"/>
      <c r="H36" s="344"/>
      <c r="I36" s="342">
        <f>SUMIFS('1. Staff Costs'!P:P,'1. Staff Costs'!C:C,B36,'1. Staff Costs'!B:B,$I$20,'1. Staff Costs'!Q:Q,"&lt;&gt;Error")+SUMIFS('2-3-6. Travel Costs&amp;CoS&amp;EC'!W:W,'2-3-6. Travel Costs&amp;CoS&amp;EC'!C:C,B36,'2-3-6. Travel Costs&amp;CoS&amp;EC'!B:B,$I$20,'2-3-6. Travel Costs&amp;CoS&amp;EC'!X:X,"&lt;&gt;Error")+SUMIFS('4. Equipment Costs'!R:R,'4. Equipment Costs'!C:C,B36,'4. Equipment Costs'!B:B,$I$20,'4. Equipment Costs'!S:S,"&lt;&gt;Error")+SUMIFS('5. Subcontracting Costs'!R:R,'5. Subcontracting Costs'!C:C,B36,'5. Subcontracting Costs'!B:B,$I$20,'5. Subcontracting Costs'!S:S,"&lt;&gt;Error")</f>
        <v>0</v>
      </c>
      <c r="J36" s="343"/>
      <c r="K36" s="344"/>
      <c r="L36" s="342">
        <f>SUMIFS('1. Staff Costs'!P:P,'1. Staff Costs'!C:C,B36,'1. Staff Costs'!B:B,$L$20,'1. Staff Costs'!Q:Q,"&lt;&gt;Error")+SUMIFS('2-3-6. Travel Costs&amp;CoS&amp;EC'!W:W,'2-3-6. Travel Costs&amp;CoS&amp;EC'!C:C,B36,'2-3-6. Travel Costs&amp;CoS&amp;EC'!B:B,$L$20,'2-3-6. Travel Costs&amp;CoS&amp;EC'!X:X,"&lt;&gt;Error")+SUMIFS('4. Equipment Costs'!R:R,'4. Equipment Costs'!C:C,B36,'4. Equipment Costs'!B:B,$L$20,'4. Equipment Costs'!S:S,"&lt;&gt;Error")+SUMIFS('5. Subcontracting Costs'!R:R,'5. Subcontracting Costs'!C:C,B36,'5. Subcontracting Costs'!B:B,$L$20,'5. Subcontracting Costs'!S:S,"&lt;&gt;Error")</f>
        <v>0</v>
      </c>
      <c r="M36" s="343"/>
      <c r="N36" s="344"/>
      <c r="O36" s="342">
        <f>SUMIFS('1. Staff Costs'!P:P,'1. Staff Costs'!C:C,B36,'1. Staff Costs'!B:B,$O$20,'1. Staff Costs'!Q:Q,"&lt;&gt;Error")+SUMIFS('2-3-6. Travel Costs&amp;CoS&amp;EC'!W:W,'2-3-6. Travel Costs&amp;CoS&amp;EC'!C:C,B36,'2-3-6. Travel Costs&amp;CoS&amp;EC'!B:B,$O$20,'2-3-6. Travel Costs&amp;CoS&amp;EC'!X:X,"&lt;&gt;Error")+SUMIFS('4. Equipment Costs'!R:R,'4. Equipment Costs'!C:C,B36,'4. Equipment Costs'!B:B,$O$20,'4. Equipment Costs'!S:S,"&lt;&gt;Error")+SUMIFS('5. Subcontracting Costs'!R:R,'5. Subcontracting Costs'!C:C,B36,'5. Subcontracting Costs'!B:B,$O$20,'5. Subcontracting Costs'!S:S,"&lt;&gt;Error")</f>
        <v>0</v>
      </c>
      <c r="P36" s="343"/>
      <c r="Q36" s="344"/>
      <c r="R36" s="342">
        <f>SUMIFS('1. Staff Costs'!P:P,'1. Staff Costs'!C:C,B36,'1. Staff Costs'!B:B,$R$20,'1. Staff Costs'!Q:Q,"&lt;&gt;Error")+SUMIFS('2-3-6. Travel Costs&amp;CoS&amp;EC'!W:W,'2-3-6. Travel Costs&amp;CoS&amp;EC'!C:C,B36,'2-3-6. Travel Costs&amp;CoS&amp;EC'!B:B,$R$20,'2-3-6. Travel Costs&amp;CoS&amp;EC'!X:X,"&lt;&gt;Error")+SUMIFS('4. Equipment Costs'!R:R,'4. Equipment Costs'!C:C,B36,'4. Equipment Costs'!B:B,$R$20,'4. Equipment Costs'!S:S,"&lt;&gt;Error")+SUMIFS('5. Subcontracting Costs'!R:R,'5. Subcontracting Costs'!C:C,B36,'5. Subcontracting Costs'!B:B,$R$20,'5. Subcontracting Costs'!S:S,"&lt;&gt;Error")</f>
        <v>0</v>
      </c>
      <c r="S36" s="343"/>
      <c r="T36" s="344"/>
      <c r="U36" s="185">
        <f t="shared" si="4"/>
        <v>0</v>
      </c>
    </row>
    <row r="37" spans="2:21" x14ac:dyDescent="0.4">
      <c r="B37" s="208" t="s">
        <v>21</v>
      </c>
      <c r="C37" s="171" t="str">
        <f>IF('Final financial statement'!E39=0,"",'Final financial statement'!E39)</f>
        <v/>
      </c>
      <c r="D37" s="336" t="str">
        <f>IF('Final financial statement'!D39=0,"",'Final financial statement'!D39)</f>
        <v/>
      </c>
      <c r="E37" s="337"/>
      <c r="F37" s="342">
        <f>SUMIFS('1. Staff Costs'!P:P,'1. Staff Costs'!C:C,B37,'1. Staff Costs'!B:B,$F$20,'1. Staff Costs'!Q:Q,"&lt;&gt;Error")+SUMIFS('2-3-6. Travel Costs&amp;CoS&amp;EC'!W:W,'2-3-6. Travel Costs&amp;CoS&amp;EC'!C:C,B37,'2-3-6. Travel Costs&amp;CoS&amp;EC'!B:B,$F$20,'2-3-6. Travel Costs&amp;CoS&amp;EC'!X:X,"&lt;&gt;Error")+SUMIFS('4. Equipment Costs'!R:R,'4. Equipment Costs'!C:C,B37,'4. Equipment Costs'!B:B,$F$20,'4. Equipment Costs'!S:S,"&lt;&gt;Error")+SUMIFS('5. Subcontracting Costs'!R:R,'5. Subcontracting Costs'!C:C,B37,'5. Subcontracting Costs'!B:B,$F$20,'5. Subcontracting Costs'!S:S,"&lt;&gt;Error")</f>
        <v>0</v>
      </c>
      <c r="G37" s="343"/>
      <c r="H37" s="344"/>
      <c r="I37" s="342">
        <f>SUMIFS('1. Staff Costs'!P:P,'1. Staff Costs'!C:C,B37,'1. Staff Costs'!B:B,$I$20,'1. Staff Costs'!Q:Q,"&lt;&gt;Error")+SUMIFS('2-3-6. Travel Costs&amp;CoS&amp;EC'!W:W,'2-3-6. Travel Costs&amp;CoS&amp;EC'!C:C,B37,'2-3-6. Travel Costs&amp;CoS&amp;EC'!B:B,$I$20,'2-3-6. Travel Costs&amp;CoS&amp;EC'!X:X,"&lt;&gt;Error")+SUMIFS('4. Equipment Costs'!R:R,'4. Equipment Costs'!C:C,B37,'4. Equipment Costs'!B:B,$I$20,'4. Equipment Costs'!S:S,"&lt;&gt;Error")+SUMIFS('5. Subcontracting Costs'!R:R,'5. Subcontracting Costs'!C:C,B37,'5. Subcontracting Costs'!B:B,$I$20,'5. Subcontracting Costs'!S:S,"&lt;&gt;Error")</f>
        <v>0</v>
      </c>
      <c r="J37" s="343"/>
      <c r="K37" s="344"/>
      <c r="L37" s="342">
        <f>SUMIFS('1. Staff Costs'!P:P,'1. Staff Costs'!C:C,B37,'1. Staff Costs'!B:B,$L$20,'1. Staff Costs'!Q:Q,"&lt;&gt;Error")+SUMIFS('2-3-6. Travel Costs&amp;CoS&amp;EC'!W:W,'2-3-6. Travel Costs&amp;CoS&amp;EC'!C:C,B37,'2-3-6. Travel Costs&amp;CoS&amp;EC'!B:B,$L$20,'2-3-6. Travel Costs&amp;CoS&amp;EC'!X:X,"&lt;&gt;Error")+SUMIFS('4. Equipment Costs'!R:R,'4. Equipment Costs'!C:C,B37,'4. Equipment Costs'!B:B,$L$20,'4. Equipment Costs'!S:S,"&lt;&gt;Error")+SUMIFS('5. Subcontracting Costs'!R:R,'5. Subcontracting Costs'!C:C,B37,'5. Subcontracting Costs'!B:B,$L$20,'5. Subcontracting Costs'!S:S,"&lt;&gt;Error")</f>
        <v>0</v>
      </c>
      <c r="M37" s="343"/>
      <c r="N37" s="344"/>
      <c r="O37" s="342">
        <f>SUMIFS('1. Staff Costs'!P:P,'1. Staff Costs'!C:C,B37,'1. Staff Costs'!B:B,$O$20,'1. Staff Costs'!Q:Q,"&lt;&gt;Error")+SUMIFS('2-3-6. Travel Costs&amp;CoS&amp;EC'!W:W,'2-3-6. Travel Costs&amp;CoS&amp;EC'!C:C,B37,'2-3-6. Travel Costs&amp;CoS&amp;EC'!B:B,$O$20,'2-3-6. Travel Costs&amp;CoS&amp;EC'!X:X,"&lt;&gt;Error")+SUMIFS('4. Equipment Costs'!R:R,'4. Equipment Costs'!C:C,B37,'4. Equipment Costs'!B:B,$O$20,'4. Equipment Costs'!S:S,"&lt;&gt;Error")+SUMIFS('5. Subcontracting Costs'!R:R,'5. Subcontracting Costs'!C:C,B37,'5. Subcontracting Costs'!B:B,$O$20,'5. Subcontracting Costs'!S:S,"&lt;&gt;Error")</f>
        <v>0</v>
      </c>
      <c r="P37" s="343"/>
      <c r="Q37" s="344"/>
      <c r="R37" s="342">
        <f>SUMIFS('1. Staff Costs'!P:P,'1. Staff Costs'!C:C,B37,'1. Staff Costs'!B:B,$R$20,'1. Staff Costs'!Q:Q,"&lt;&gt;Error")+SUMIFS('2-3-6. Travel Costs&amp;CoS&amp;EC'!W:W,'2-3-6. Travel Costs&amp;CoS&amp;EC'!C:C,B37,'2-3-6. Travel Costs&amp;CoS&amp;EC'!B:B,$R$20,'2-3-6. Travel Costs&amp;CoS&amp;EC'!X:X,"&lt;&gt;Error")+SUMIFS('4. Equipment Costs'!R:R,'4. Equipment Costs'!C:C,B37,'4. Equipment Costs'!B:B,$R$20,'4. Equipment Costs'!S:S,"&lt;&gt;Error")+SUMIFS('5. Subcontracting Costs'!R:R,'5. Subcontracting Costs'!C:C,B37,'5. Subcontracting Costs'!B:B,$R$20,'5. Subcontracting Costs'!S:S,"&lt;&gt;Error")</f>
        <v>0</v>
      </c>
      <c r="S37" s="343"/>
      <c r="T37" s="344"/>
      <c r="U37" s="185">
        <f t="shared" si="4"/>
        <v>0</v>
      </c>
    </row>
    <row r="38" spans="2:21" x14ac:dyDescent="0.4">
      <c r="B38" s="208" t="s">
        <v>22</v>
      </c>
      <c r="C38" s="171" t="str">
        <f>IF('Final financial statement'!E40=0,"",'Final financial statement'!E40)</f>
        <v/>
      </c>
      <c r="D38" s="336" t="str">
        <f>IF('Final financial statement'!D40=0,"",'Final financial statement'!D40)</f>
        <v/>
      </c>
      <c r="E38" s="337"/>
      <c r="F38" s="342">
        <f>SUMIFS('1. Staff Costs'!P:P,'1. Staff Costs'!C:C,B38,'1. Staff Costs'!B:B,$F$20,'1. Staff Costs'!Q:Q,"&lt;&gt;Error")+SUMIFS('2-3-6. Travel Costs&amp;CoS&amp;EC'!W:W,'2-3-6. Travel Costs&amp;CoS&amp;EC'!C:C,B38,'2-3-6. Travel Costs&amp;CoS&amp;EC'!B:B,$F$20,'2-3-6. Travel Costs&amp;CoS&amp;EC'!X:X,"&lt;&gt;Error")+SUMIFS('4. Equipment Costs'!R:R,'4. Equipment Costs'!C:C,B38,'4. Equipment Costs'!B:B,$F$20,'4. Equipment Costs'!S:S,"&lt;&gt;Error")+SUMIFS('5. Subcontracting Costs'!R:R,'5. Subcontracting Costs'!C:C,B38,'5. Subcontracting Costs'!B:B,$F$20,'5. Subcontracting Costs'!S:S,"&lt;&gt;Error")</f>
        <v>0</v>
      </c>
      <c r="G38" s="343"/>
      <c r="H38" s="344"/>
      <c r="I38" s="342">
        <f>SUMIFS('1. Staff Costs'!P:P,'1. Staff Costs'!C:C,B38,'1. Staff Costs'!B:B,$I$20,'1. Staff Costs'!Q:Q,"&lt;&gt;Error")+SUMIFS('2-3-6. Travel Costs&amp;CoS&amp;EC'!W:W,'2-3-6. Travel Costs&amp;CoS&amp;EC'!C:C,B38,'2-3-6. Travel Costs&amp;CoS&amp;EC'!B:B,$I$20,'2-3-6. Travel Costs&amp;CoS&amp;EC'!X:X,"&lt;&gt;Error")+SUMIFS('4. Equipment Costs'!R:R,'4. Equipment Costs'!C:C,B38,'4. Equipment Costs'!B:B,$I$20,'4. Equipment Costs'!S:S,"&lt;&gt;Error")+SUMIFS('5. Subcontracting Costs'!R:R,'5. Subcontracting Costs'!C:C,B38,'5. Subcontracting Costs'!B:B,$I$20,'5. Subcontracting Costs'!S:S,"&lt;&gt;Error")</f>
        <v>0</v>
      </c>
      <c r="J38" s="343"/>
      <c r="K38" s="344"/>
      <c r="L38" s="342">
        <f>SUMIFS('1. Staff Costs'!P:P,'1. Staff Costs'!C:C,B38,'1. Staff Costs'!B:B,$L$20,'1. Staff Costs'!Q:Q,"&lt;&gt;Error")+SUMIFS('2-3-6. Travel Costs&amp;CoS&amp;EC'!W:W,'2-3-6. Travel Costs&amp;CoS&amp;EC'!C:C,B38,'2-3-6. Travel Costs&amp;CoS&amp;EC'!B:B,$L$20,'2-3-6. Travel Costs&amp;CoS&amp;EC'!X:X,"&lt;&gt;Error")+SUMIFS('4. Equipment Costs'!R:R,'4. Equipment Costs'!C:C,B38,'4. Equipment Costs'!B:B,$L$20,'4. Equipment Costs'!S:S,"&lt;&gt;Error")+SUMIFS('5. Subcontracting Costs'!R:R,'5. Subcontracting Costs'!C:C,B38,'5. Subcontracting Costs'!B:B,$L$20,'5. Subcontracting Costs'!S:S,"&lt;&gt;Error")</f>
        <v>0</v>
      </c>
      <c r="M38" s="343"/>
      <c r="N38" s="344"/>
      <c r="O38" s="342">
        <f>SUMIFS('1. Staff Costs'!P:P,'1. Staff Costs'!C:C,B38,'1. Staff Costs'!B:B,$O$20,'1. Staff Costs'!Q:Q,"&lt;&gt;Error")+SUMIFS('2-3-6. Travel Costs&amp;CoS&amp;EC'!W:W,'2-3-6. Travel Costs&amp;CoS&amp;EC'!C:C,B38,'2-3-6. Travel Costs&amp;CoS&amp;EC'!B:B,$O$20,'2-3-6. Travel Costs&amp;CoS&amp;EC'!X:X,"&lt;&gt;Error")+SUMIFS('4. Equipment Costs'!R:R,'4. Equipment Costs'!C:C,B38,'4. Equipment Costs'!B:B,$O$20,'4. Equipment Costs'!S:S,"&lt;&gt;Error")+SUMIFS('5. Subcontracting Costs'!R:R,'5. Subcontracting Costs'!C:C,B38,'5. Subcontracting Costs'!B:B,$O$20,'5. Subcontracting Costs'!S:S,"&lt;&gt;Error")</f>
        <v>0</v>
      </c>
      <c r="P38" s="343"/>
      <c r="Q38" s="344"/>
      <c r="R38" s="342">
        <f>SUMIFS('1. Staff Costs'!P:P,'1. Staff Costs'!C:C,B38,'1. Staff Costs'!B:B,$R$20,'1. Staff Costs'!Q:Q,"&lt;&gt;Error")+SUMIFS('2-3-6. Travel Costs&amp;CoS&amp;EC'!W:W,'2-3-6. Travel Costs&amp;CoS&amp;EC'!C:C,B38,'2-3-6. Travel Costs&amp;CoS&amp;EC'!B:B,$R$20,'2-3-6. Travel Costs&amp;CoS&amp;EC'!X:X,"&lt;&gt;Error")+SUMIFS('4. Equipment Costs'!R:R,'4. Equipment Costs'!C:C,B38,'4. Equipment Costs'!B:B,$R$20,'4. Equipment Costs'!S:S,"&lt;&gt;Error")+SUMIFS('5. Subcontracting Costs'!R:R,'5. Subcontracting Costs'!C:C,B38,'5. Subcontracting Costs'!B:B,$R$20,'5. Subcontracting Costs'!S:S,"&lt;&gt;Error")</f>
        <v>0</v>
      </c>
      <c r="S38" s="343"/>
      <c r="T38" s="344"/>
      <c r="U38" s="185">
        <f t="shared" si="4"/>
        <v>0</v>
      </c>
    </row>
    <row r="39" spans="2:21" x14ac:dyDescent="0.4">
      <c r="B39" s="208" t="s">
        <v>23</v>
      </c>
      <c r="C39" s="171" t="str">
        <f>IF('Final financial statement'!E41=0,"",'Final financial statement'!E41)</f>
        <v/>
      </c>
      <c r="D39" s="336" t="str">
        <f>IF('Final financial statement'!D41=0,"",'Final financial statement'!D41)</f>
        <v/>
      </c>
      <c r="E39" s="337"/>
      <c r="F39" s="342">
        <f>SUMIFS('1. Staff Costs'!P:P,'1. Staff Costs'!C:C,B39,'1. Staff Costs'!B:B,$F$20,'1. Staff Costs'!Q:Q,"&lt;&gt;Error")+SUMIFS('2-3-6. Travel Costs&amp;CoS&amp;EC'!W:W,'2-3-6. Travel Costs&amp;CoS&amp;EC'!C:C,B39,'2-3-6. Travel Costs&amp;CoS&amp;EC'!B:B,$F$20,'2-3-6. Travel Costs&amp;CoS&amp;EC'!X:X,"&lt;&gt;Error")+SUMIFS('4. Equipment Costs'!R:R,'4. Equipment Costs'!C:C,B39,'4. Equipment Costs'!B:B,$F$20,'4. Equipment Costs'!S:S,"&lt;&gt;Error")+SUMIFS('5. Subcontracting Costs'!R:R,'5. Subcontracting Costs'!C:C,B39,'5. Subcontracting Costs'!B:B,$F$20,'5. Subcontracting Costs'!S:S,"&lt;&gt;Error")</f>
        <v>0</v>
      </c>
      <c r="G39" s="343"/>
      <c r="H39" s="344"/>
      <c r="I39" s="342">
        <f>SUMIFS('1. Staff Costs'!P:P,'1. Staff Costs'!C:C,B39,'1. Staff Costs'!B:B,$I$20,'1. Staff Costs'!Q:Q,"&lt;&gt;Error")+SUMIFS('2-3-6. Travel Costs&amp;CoS&amp;EC'!W:W,'2-3-6. Travel Costs&amp;CoS&amp;EC'!C:C,B39,'2-3-6. Travel Costs&amp;CoS&amp;EC'!B:B,$I$20,'2-3-6. Travel Costs&amp;CoS&amp;EC'!X:X,"&lt;&gt;Error")+SUMIFS('4. Equipment Costs'!R:R,'4. Equipment Costs'!C:C,B39,'4. Equipment Costs'!B:B,$I$20,'4. Equipment Costs'!S:S,"&lt;&gt;Error")+SUMIFS('5. Subcontracting Costs'!R:R,'5. Subcontracting Costs'!C:C,B39,'5. Subcontracting Costs'!B:B,$I$20,'5. Subcontracting Costs'!S:S,"&lt;&gt;Error")</f>
        <v>0</v>
      </c>
      <c r="J39" s="343"/>
      <c r="K39" s="344"/>
      <c r="L39" s="342">
        <f>SUMIFS('1. Staff Costs'!P:P,'1. Staff Costs'!C:C,B39,'1. Staff Costs'!B:B,$L$20,'1. Staff Costs'!Q:Q,"&lt;&gt;Error")+SUMIFS('2-3-6. Travel Costs&amp;CoS&amp;EC'!W:W,'2-3-6. Travel Costs&amp;CoS&amp;EC'!C:C,B39,'2-3-6. Travel Costs&amp;CoS&amp;EC'!B:B,$L$20,'2-3-6. Travel Costs&amp;CoS&amp;EC'!X:X,"&lt;&gt;Error")+SUMIFS('4. Equipment Costs'!R:R,'4. Equipment Costs'!C:C,B39,'4. Equipment Costs'!B:B,$L$20,'4. Equipment Costs'!S:S,"&lt;&gt;Error")+SUMIFS('5. Subcontracting Costs'!R:R,'5. Subcontracting Costs'!C:C,B39,'5. Subcontracting Costs'!B:B,$L$20,'5. Subcontracting Costs'!S:S,"&lt;&gt;Error")</f>
        <v>0</v>
      </c>
      <c r="M39" s="343"/>
      <c r="N39" s="344"/>
      <c r="O39" s="342">
        <f>SUMIFS('1. Staff Costs'!P:P,'1. Staff Costs'!C:C,B39,'1. Staff Costs'!B:B,$O$20,'1. Staff Costs'!Q:Q,"&lt;&gt;Error")+SUMIFS('2-3-6. Travel Costs&amp;CoS&amp;EC'!W:W,'2-3-6. Travel Costs&amp;CoS&amp;EC'!C:C,B39,'2-3-6. Travel Costs&amp;CoS&amp;EC'!B:B,$O$20,'2-3-6. Travel Costs&amp;CoS&amp;EC'!X:X,"&lt;&gt;Error")+SUMIFS('4. Equipment Costs'!R:R,'4. Equipment Costs'!C:C,B39,'4. Equipment Costs'!B:B,$O$20,'4. Equipment Costs'!S:S,"&lt;&gt;Error")+SUMIFS('5. Subcontracting Costs'!R:R,'5. Subcontracting Costs'!C:C,B39,'5. Subcontracting Costs'!B:B,$O$20,'5. Subcontracting Costs'!S:S,"&lt;&gt;Error")</f>
        <v>0</v>
      </c>
      <c r="P39" s="343"/>
      <c r="Q39" s="344"/>
      <c r="R39" s="342">
        <f>SUMIFS('1. Staff Costs'!P:P,'1. Staff Costs'!C:C,B39,'1. Staff Costs'!B:B,$R$20,'1. Staff Costs'!Q:Q,"&lt;&gt;Error")+SUMIFS('2-3-6. Travel Costs&amp;CoS&amp;EC'!W:W,'2-3-6. Travel Costs&amp;CoS&amp;EC'!C:C,B39,'2-3-6. Travel Costs&amp;CoS&amp;EC'!B:B,$R$20,'2-3-6. Travel Costs&amp;CoS&amp;EC'!X:X,"&lt;&gt;Error")+SUMIFS('4. Equipment Costs'!R:R,'4. Equipment Costs'!C:C,B39,'4. Equipment Costs'!B:B,$R$20,'4. Equipment Costs'!S:S,"&lt;&gt;Error")+SUMIFS('5. Subcontracting Costs'!R:R,'5. Subcontracting Costs'!C:C,B39,'5. Subcontracting Costs'!B:B,$R$20,'5. Subcontracting Costs'!S:S,"&lt;&gt;Error")</f>
        <v>0</v>
      </c>
      <c r="S39" s="343"/>
      <c r="T39" s="344"/>
      <c r="U39" s="185">
        <f t="shared" si="4"/>
        <v>0</v>
      </c>
    </row>
    <row r="40" spans="2:21" x14ac:dyDescent="0.4">
      <c r="B40" s="208" t="s">
        <v>24</v>
      </c>
      <c r="C40" s="171" t="str">
        <f>IF('Final financial statement'!E42=0,"",'Final financial statement'!E42)</f>
        <v/>
      </c>
      <c r="D40" s="336" t="str">
        <f>IF('Final financial statement'!D42=0,"",'Final financial statement'!D42)</f>
        <v/>
      </c>
      <c r="E40" s="337"/>
      <c r="F40" s="342">
        <f>SUMIFS('1. Staff Costs'!P:P,'1. Staff Costs'!C:C,B40,'1. Staff Costs'!B:B,$F$20,'1. Staff Costs'!Q:Q,"&lt;&gt;Error")+SUMIFS('2-3-6. Travel Costs&amp;CoS&amp;EC'!W:W,'2-3-6. Travel Costs&amp;CoS&amp;EC'!C:C,B40,'2-3-6. Travel Costs&amp;CoS&amp;EC'!B:B,$F$20,'2-3-6. Travel Costs&amp;CoS&amp;EC'!X:X,"&lt;&gt;Error")+SUMIFS('4. Equipment Costs'!R:R,'4. Equipment Costs'!C:C,B40,'4. Equipment Costs'!B:B,$F$20,'4. Equipment Costs'!S:S,"&lt;&gt;Error")+SUMIFS('5. Subcontracting Costs'!R:R,'5. Subcontracting Costs'!C:C,B40,'5. Subcontracting Costs'!B:B,$F$20,'5. Subcontracting Costs'!S:S,"&lt;&gt;Error")</f>
        <v>0</v>
      </c>
      <c r="G40" s="343"/>
      <c r="H40" s="344"/>
      <c r="I40" s="342">
        <f>SUMIFS('1. Staff Costs'!P:P,'1. Staff Costs'!C:C,B40,'1. Staff Costs'!B:B,$I$20,'1. Staff Costs'!Q:Q,"&lt;&gt;Error")+SUMIFS('2-3-6. Travel Costs&amp;CoS&amp;EC'!W:W,'2-3-6. Travel Costs&amp;CoS&amp;EC'!C:C,B40,'2-3-6. Travel Costs&amp;CoS&amp;EC'!B:B,$I$20,'2-3-6. Travel Costs&amp;CoS&amp;EC'!X:X,"&lt;&gt;Error")+SUMIFS('4. Equipment Costs'!R:R,'4. Equipment Costs'!C:C,B40,'4. Equipment Costs'!B:B,$I$20,'4. Equipment Costs'!S:S,"&lt;&gt;Error")+SUMIFS('5. Subcontracting Costs'!R:R,'5. Subcontracting Costs'!C:C,B40,'5. Subcontracting Costs'!B:B,$I$20,'5. Subcontracting Costs'!S:S,"&lt;&gt;Error")</f>
        <v>0</v>
      </c>
      <c r="J40" s="343"/>
      <c r="K40" s="344"/>
      <c r="L40" s="342">
        <f>SUMIFS('1. Staff Costs'!P:P,'1. Staff Costs'!C:C,B40,'1. Staff Costs'!B:B,$L$20,'1. Staff Costs'!Q:Q,"&lt;&gt;Error")+SUMIFS('2-3-6. Travel Costs&amp;CoS&amp;EC'!W:W,'2-3-6. Travel Costs&amp;CoS&amp;EC'!C:C,B40,'2-3-6. Travel Costs&amp;CoS&amp;EC'!B:B,$L$20,'2-3-6. Travel Costs&amp;CoS&amp;EC'!X:X,"&lt;&gt;Error")+SUMIFS('4. Equipment Costs'!R:R,'4. Equipment Costs'!C:C,B40,'4. Equipment Costs'!B:B,$L$20,'4. Equipment Costs'!S:S,"&lt;&gt;Error")+SUMIFS('5. Subcontracting Costs'!R:R,'5. Subcontracting Costs'!C:C,B40,'5. Subcontracting Costs'!B:B,$L$20,'5. Subcontracting Costs'!S:S,"&lt;&gt;Error")</f>
        <v>0</v>
      </c>
      <c r="M40" s="343"/>
      <c r="N40" s="344"/>
      <c r="O40" s="342">
        <f>SUMIFS('1. Staff Costs'!P:P,'1. Staff Costs'!C:C,B40,'1. Staff Costs'!B:B,$O$20,'1. Staff Costs'!Q:Q,"&lt;&gt;Error")+SUMIFS('2-3-6. Travel Costs&amp;CoS&amp;EC'!W:W,'2-3-6. Travel Costs&amp;CoS&amp;EC'!C:C,B40,'2-3-6. Travel Costs&amp;CoS&amp;EC'!B:B,$O$20,'2-3-6. Travel Costs&amp;CoS&amp;EC'!X:X,"&lt;&gt;Error")+SUMIFS('4. Equipment Costs'!R:R,'4. Equipment Costs'!C:C,B40,'4. Equipment Costs'!B:B,$O$20,'4. Equipment Costs'!S:S,"&lt;&gt;Error")+SUMIFS('5. Subcontracting Costs'!R:R,'5. Subcontracting Costs'!C:C,B40,'5. Subcontracting Costs'!B:B,$O$20,'5. Subcontracting Costs'!S:S,"&lt;&gt;Error")</f>
        <v>0</v>
      </c>
      <c r="P40" s="343"/>
      <c r="Q40" s="344"/>
      <c r="R40" s="342">
        <f>SUMIFS('1. Staff Costs'!P:P,'1. Staff Costs'!C:C,B40,'1. Staff Costs'!B:B,$R$20,'1. Staff Costs'!Q:Q,"&lt;&gt;Error")+SUMIFS('2-3-6. Travel Costs&amp;CoS&amp;EC'!W:W,'2-3-6. Travel Costs&amp;CoS&amp;EC'!C:C,B40,'2-3-6. Travel Costs&amp;CoS&amp;EC'!B:B,$R$20,'2-3-6. Travel Costs&amp;CoS&amp;EC'!X:X,"&lt;&gt;Error")+SUMIFS('4. Equipment Costs'!R:R,'4. Equipment Costs'!C:C,B40,'4. Equipment Costs'!B:B,$R$20,'4. Equipment Costs'!S:S,"&lt;&gt;Error")+SUMIFS('5. Subcontracting Costs'!R:R,'5. Subcontracting Costs'!C:C,B40,'5. Subcontracting Costs'!B:B,$R$20,'5. Subcontracting Costs'!S:S,"&lt;&gt;Error")</f>
        <v>0</v>
      </c>
      <c r="S40" s="343"/>
      <c r="T40" s="344"/>
      <c r="U40" s="185">
        <f t="shared" si="4"/>
        <v>0</v>
      </c>
    </row>
    <row r="41" spans="2:21" x14ac:dyDescent="0.4">
      <c r="B41" s="208" t="s">
        <v>106</v>
      </c>
      <c r="C41" s="171" t="str">
        <f>IF('Final financial statement'!E43=0,"",'Final financial statement'!E43)</f>
        <v/>
      </c>
      <c r="D41" s="336" t="str">
        <f>IF('Final financial statement'!D43=0,"",'Final financial statement'!D43)</f>
        <v/>
      </c>
      <c r="E41" s="337"/>
      <c r="F41" s="342">
        <f>SUMIFS('1. Staff Costs'!P:P,'1. Staff Costs'!C:C,B41,'1. Staff Costs'!B:B,$F$20,'1. Staff Costs'!Q:Q,"&lt;&gt;Error")+SUMIFS('2-3-6. Travel Costs&amp;CoS&amp;EC'!W:W,'2-3-6. Travel Costs&amp;CoS&amp;EC'!C:C,B41,'2-3-6. Travel Costs&amp;CoS&amp;EC'!B:B,$F$20,'2-3-6. Travel Costs&amp;CoS&amp;EC'!X:X,"&lt;&gt;Error")+SUMIFS('4. Equipment Costs'!R:R,'4. Equipment Costs'!C:C,B41,'4. Equipment Costs'!B:B,$F$20,'4. Equipment Costs'!S:S,"&lt;&gt;Error")+SUMIFS('5. Subcontracting Costs'!R:R,'5. Subcontracting Costs'!C:C,B41,'5. Subcontracting Costs'!B:B,$F$20,'5. Subcontracting Costs'!S:S,"&lt;&gt;Error")</f>
        <v>0</v>
      </c>
      <c r="G41" s="343"/>
      <c r="H41" s="344"/>
      <c r="I41" s="342">
        <f>SUMIFS('1. Staff Costs'!P:P,'1. Staff Costs'!C:C,B41,'1. Staff Costs'!B:B,$I$20,'1. Staff Costs'!Q:Q,"&lt;&gt;Error")+SUMIFS('2-3-6. Travel Costs&amp;CoS&amp;EC'!W:W,'2-3-6. Travel Costs&amp;CoS&amp;EC'!C:C,B41,'2-3-6. Travel Costs&amp;CoS&amp;EC'!B:B,$I$20,'2-3-6. Travel Costs&amp;CoS&amp;EC'!X:X,"&lt;&gt;Error")+SUMIFS('4. Equipment Costs'!R:R,'4. Equipment Costs'!C:C,B41,'4. Equipment Costs'!B:B,$I$20,'4. Equipment Costs'!S:S,"&lt;&gt;Error")+SUMIFS('5. Subcontracting Costs'!R:R,'5. Subcontracting Costs'!C:C,B41,'5. Subcontracting Costs'!B:B,$I$20,'5. Subcontracting Costs'!S:S,"&lt;&gt;Error")</f>
        <v>0</v>
      </c>
      <c r="J41" s="343"/>
      <c r="K41" s="344"/>
      <c r="L41" s="342">
        <f>SUMIFS('1. Staff Costs'!P:P,'1. Staff Costs'!C:C,B41,'1. Staff Costs'!B:B,$L$20,'1. Staff Costs'!Q:Q,"&lt;&gt;Error")+SUMIFS('2-3-6. Travel Costs&amp;CoS&amp;EC'!W:W,'2-3-6. Travel Costs&amp;CoS&amp;EC'!C:C,B41,'2-3-6. Travel Costs&amp;CoS&amp;EC'!B:B,$L$20,'2-3-6. Travel Costs&amp;CoS&amp;EC'!X:X,"&lt;&gt;Error")+SUMIFS('4. Equipment Costs'!R:R,'4. Equipment Costs'!C:C,B41,'4. Equipment Costs'!B:B,$L$20,'4. Equipment Costs'!S:S,"&lt;&gt;Error")+SUMIFS('5. Subcontracting Costs'!R:R,'5. Subcontracting Costs'!C:C,B41,'5. Subcontracting Costs'!B:B,$L$20,'5. Subcontracting Costs'!S:S,"&lt;&gt;Error")</f>
        <v>0</v>
      </c>
      <c r="M41" s="343"/>
      <c r="N41" s="344"/>
      <c r="O41" s="342">
        <f>SUMIFS('1. Staff Costs'!P:P,'1. Staff Costs'!C:C,B41,'1. Staff Costs'!B:B,$O$20,'1. Staff Costs'!Q:Q,"&lt;&gt;Error")+SUMIFS('2-3-6. Travel Costs&amp;CoS&amp;EC'!W:W,'2-3-6. Travel Costs&amp;CoS&amp;EC'!C:C,B41,'2-3-6. Travel Costs&amp;CoS&amp;EC'!B:B,$O$20,'2-3-6. Travel Costs&amp;CoS&amp;EC'!X:X,"&lt;&gt;Error")+SUMIFS('4. Equipment Costs'!R:R,'4. Equipment Costs'!C:C,B41,'4. Equipment Costs'!B:B,$O$20,'4. Equipment Costs'!S:S,"&lt;&gt;Error")+SUMIFS('5. Subcontracting Costs'!R:R,'5. Subcontracting Costs'!C:C,B41,'5. Subcontracting Costs'!B:B,$O$20,'5. Subcontracting Costs'!S:S,"&lt;&gt;Error")</f>
        <v>0</v>
      </c>
      <c r="P41" s="343"/>
      <c r="Q41" s="344"/>
      <c r="R41" s="342">
        <f>SUMIFS('1. Staff Costs'!P:P,'1. Staff Costs'!C:C,B41,'1. Staff Costs'!B:B,$R$20,'1. Staff Costs'!Q:Q,"&lt;&gt;Error")+SUMIFS('2-3-6. Travel Costs&amp;CoS&amp;EC'!W:W,'2-3-6. Travel Costs&amp;CoS&amp;EC'!C:C,B41,'2-3-6. Travel Costs&amp;CoS&amp;EC'!B:B,$R$20,'2-3-6. Travel Costs&amp;CoS&amp;EC'!X:X,"&lt;&gt;Error")+SUMIFS('4. Equipment Costs'!R:R,'4. Equipment Costs'!C:C,B41,'4. Equipment Costs'!B:B,$R$20,'4. Equipment Costs'!S:S,"&lt;&gt;Error")+SUMIFS('5. Subcontracting Costs'!R:R,'5. Subcontracting Costs'!C:C,B41,'5. Subcontracting Costs'!B:B,$R$20,'5. Subcontracting Costs'!S:S,"&lt;&gt;Error")</f>
        <v>0</v>
      </c>
      <c r="S41" s="343"/>
      <c r="T41" s="344"/>
      <c r="U41" s="185">
        <f t="shared" si="4"/>
        <v>0</v>
      </c>
    </row>
    <row r="42" spans="2:21" x14ac:dyDescent="0.4">
      <c r="B42" s="208" t="s">
        <v>107</v>
      </c>
      <c r="C42" s="171" t="str">
        <f>IF('Final financial statement'!E44=0,"",'Final financial statement'!E44)</f>
        <v/>
      </c>
      <c r="D42" s="336" t="str">
        <f>IF('Final financial statement'!D44=0,"",'Final financial statement'!D44)</f>
        <v/>
      </c>
      <c r="E42" s="337"/>
      <c r="F42" s="342">
        <f>SUMIFS('1. Staff Costs'!P:P,'1. Staff Costs'!C:C,B42,'1. Staff Costs'!B:B,$F$20,'1. Staff Costs'!Q:Q,"&lt;&gt;Error")+SUMIFS('2-3-6. Travel Costs&amp;CoS&amp;EC'!W:W,'2-3-6. Travel Costs&amp;CoS&amp;EC'!C:C,B42,'2-3-6. Travel Costs&amp;CoS&amp;EC'!B:B,$F$20,'2-3-6. Travel Costs&amp;CoS&amp;EC'!X:X,"&lt;&gt;Error")+SUMIFS('4. Equipment Costs'!R:R,'4. Equipment Costs'!C:C,B42,'4. Equipment Costs'!B:B,$F$20,'4. Equipment Costs'!S:S,"&lt;&gt;Error")+SUMIFS('5. Subcontracting Costs'!R:R,'5. Subcontracting Costs'!C:C,B42,'5. Subcontracting Costs'!B:B,$F$20,'5. Subcontracting Costs'!S:S,"&lt;&gt;Error")</f>
        <v>0</v>
      </c>
      <c r="G42" s="343"/>
      <c r="H42" s="344"/>
      <c r="I42" s="342">
        <f>SUMIFS('1. Staff Costs'!P:P,'1. Staff Costs'!C:C,B42,'1. Staff Costs'!B:B,$I$20,'1. Staff Costs'!Q:Q,"&lt;&gt;Error")+SUMIFS('2-3-6. Travel Costs&amp;CoS&amp;EC'!W:W,'2-3-6. Travel Costs&amp;CoS&amp;EC'!C:C,B42,'2-3-6. Travel Costs&amp;CoS&amp;EC'!B:B,$I$20,'2-3-6. Travel Costs&amp;CoS&amp;EC'!X:X,"&lt;&gt;Error")+SUMIFS('4. Equipment Costs'!R:R,'4. Equipment Costs'!C:C,B42,'4. Equipment Costs'!B:B,$I$20,'4. Equipment Costs'!S:S,"&lt;&gt;Error")+SUMIFS('5. Subcontracting Costs'!R:R,'5. Subcontracting Costs'!C:C,B42,'5. Subcontracting Costs'!B:B,$I$20,'5. Subcontracting Costs'!S:S,"&lt;&gt;Error")</f>
        <v>0</v>
      </c>
      <c r="J42" s="343"/>
      <c r="K42" s="344"/>
      <c r="L42" s="342">
        <f>SUMIFS('1. Staff Costs'!P:P,'1. Staff Costs'!C:C,B42,'1. Staff Costs'!B:B,$L$20,'1. Staff Costs'!Q:Q,"&lt;&gt;Error")+SUMIFS('2-3-6. Travel Costs&amp;CoS&amp;EC'!W:W,'2-3-6. Travel Costs&amp;CoS&amp;EC'!C:C,B42,'2-3-6. Travel Costs&amp;CoS&amp;EC'!B:B,$L$20,'2-3-6. Travel Costs&amp;CoS&amp;EC'!X:X,"&lt;&gt;Error")+SUMIFS('4. Equipment Costs'!R:R,'4. Equipment Costs'!C:C,B42,'4. Equipment Costs'!B:B,$L$20,'4. Equipment Costs'!S:S,"&lt;&gt;Error")+SUMIFS('5. Subcontracting Costs'!R:R,'5. Subcontracting Costs'!C:C,B42,'5. Subcontracting Costs'!B:B,$L$20,'5. Subcontracting Costs'!S:S,"&lt;&gt;Error")</f>
        <v>0</v>
      </c>
      <c r="M42" s="343"/>
      <c r="N42" s="344"/>
      <c r="O42" s="342">
        <f>SUMIFS('1. Staff Costs'!P:P,'1. Staff Costs'!C:C,B42,'1. Staff Costs'!B:B,$O$20,'1. Staff Costs'!Q:Q,"&lt;&gt;Error")+SUMIFS('2-3-6. Travel Costs&amp;CoS&amp;EC'!W:W,'2-3-6. Travel Costs&amp;CoS&amp;EC'!C:C,B42,'2-3-6. Travel Costs&amp;CoS&amp;EC'!B:B,$O$20,'2-3-6. Travel Costs&amp;CoS&amp;EC'!X:X,"&lt;&gt;Error")+SUMIFS('4. Equipment Costs'!R:R,'4. Equipment Costs'!C:C,B42,'4. Equipment Costs'!B:B,$O$20,'4. Equipment Costs'!S:S,"&lt;&gt;Error")+SUMIFS('5. Subcontracting Costs'!R:R,'5. Subcontracting Costs'!C:C,B42,'5. Subcontracting Costs'!B:B,$O$20,'5. Subcontracting Costs'!S:S,"&lt;&gt;Error")</f>
        <v>0</v>
      </c>
      <c r="P42" s="343"/>
      <c r="Q42" s="344"/>
      <c r="R42" s="342">
        <f>SUMIFS('1. Staff Costs'!P:P,'1. Staff Costs'!C:C,B42,'1. Staff Costs'!B:B,$R$20,'1. Staff Costs'!Q:Q,"&lt;&gt;Error")+SUMIFS('2-3-6. Travel Costs&amp;CoS&amp;EC'!W:W,'2-3-6. Travel Costs&amp;CoS&amp;EC'!C:C,B42,'2-3-6. Travel Costs&amp;CoS&amp;EC'!B:B,$R$20,'2-3-6. Travel Costs&amp;CoS&amp;EC'!X:X,"&lt;&gt;Error")+SUMIFS('4. Equipment Costs'!R:R,'4. Equipment Costs'!C:C,B42,'4. Equipment Costs'!B:B,$R$20,'4. Equipment Costs'!S:S,"&lt;&gt;Error")+SUMIFS('5. Subcontracting Costs'!R:R,'5. Subcontracting Costs'!C:C,B42,'5. Subcontracting Costs'!B:B,$R$20,'5. Subcontracting Costs'!S:S,"&lt;&gt;Error")</f>
        <v>0</v>
      </c>
      <c r="S42" s="343"/>
      <c r="T42" s="344"/>
      <c r="U42" s="185">
        <f t="shared" si="4"/>
        <v>0</v>
      </c>
    </row>
    <row r="43" spans="2:21" x14ac:dyDescent="0.4">
      <c r="B43" s="208" t="s">
        <v>108</v>
      </c>
      <c r="C43" s="171" t="str">
        <f>IF('Final financial statement'!E45=0,"",'Final financial statement'!E45)</f>
        <v/>
      </c>
      <c r="D43" s="336" t="str">
        <f>IF('Final financial statement'!D45=0,"",'Final financial statement'!D45)</f>
        <v/>
      </c>
      <c r="E43" s="337"/>
      <c r="F43" s="342">
        <f>SUMIFS('1. Staff Costs'!P:P,'1. Staff Costs'!C:C,B43,'1. Staff Costs'!B:B,$F$20,'1. Staff Costs'!Q:Q,"&lt;&gt;Error")+SUMIFS('2-3-6. Travel Costs&amp;CoS&amp;EC'!W:W,'2-3-6. Travel Costs&amp;CoS&amp;EC'!C:C,B43,'2-3-6. Travel Costs&amp;CoS&amp;EC'!B:B,$F$20,'2-3-6. Travel Costs&amp;CoS&amp;EC'!X:X,"&lt;&gt;Error")+SUMIFS('4. Equipment Costs'!R:R,'4. Equipment Costs'!C:C,B43,'4. Equipment Costs'!B:B,$F$20,'4. Equipment Costs'!S:S,"&lt;&gt;Error")+SUMIFS('5. Subcontracting Costs'!R:R,'5. Subcontracting Costs'!C:C,B43,'5. Subcontracting Costs'!B:B,$F$20,'5. Subcontracting Costs'!S:S,"&lt;&gt;Error")</f>
        <v>0</v>
      </c>
      <c r="G43" s="343"/>
      <c r="H43" s="344"/>
      <c r="I43" s="342">
        <f>SUMIFS('1. Staff Costs'!P:P,'1. Staff Costs'!C:C,B43,'1. Staff Costs'!B:B,$I$20,'1. Staff Costs'!Q:Q,"&lt;&gt;Error")+SUMIFS('2-3-6. Travel Costs&amp;CoS&amp;EC'!W:W,'2-3-6. Travel Costs&amp;CoS&amp;EC'!C:C,B43,'2-3-6. Travel Costs&amp;CoS&amp;EC'!B:B,$I$20,'2-3-6. Travel Costs&amp;CoS&amp;EC'!X:X,"&lt;&gt;Error")+SUMIFS('4. Equipment Costs'!R:R,'4. Equipment Costs'!C:C,B43,'4. Equipment Costs'!B:B,$I$20,'4. Equipment Costs'!S:S,"&lt;&gt;Error")+SUMIFS('5. Subcontracting Costs'!R:R,'5. Subcontracting Costs'!C:C,B43,'5. Subcontracting Costs'!B:B,$I$20,'5. Subcontracting Costs'!S:S,"&lt;&gt;Error")</f>
        <v>0</v>
      </c>
      <c r="J43" s="343"/>
      <c r="K43" s="344"/>
      <c r="L43" s="342">
        <f>SUMIFS('1. Staff Costs'!P:P,'1. Staff Costs'!C:C,B43,'1. Staff Costs'!B:B,$L$20,'1. Staff Costs'!Q:Q,"&lt;&gt;Error")+SUMIFS('2-3-6. Travel Costs&amp;CoS&amp;EC'!W:W,'2-3-6. Travel Costs&amp;CoS&amp;EC'!C:C,B43,'2-3-6. Travel Costs&amp;CoS&amp;EC'!B:B,$L$20,'2-3-6. Travel Costs&amp;CoS&amp;EC'!X:X,"&lt;&gt;Error")+SUMIFS('4. Equipment Costs'!R:R,'4. Equipment Costs'!C:C,B43,'4. Equipment Costs'!B:B,$L$20,'4. Equipment Costs'!S:S,"&lt;&gt;Error")+SUMIFS('5. Subcontracting Costs'!R:R,'5. Subcontracting Costs'!C:C,B43,'5. Subcontracting Costs'!B:B,$L$20,'5. Subcontracting Costs'!S:S,"&lt;&gt;Error")</f>
        <v>0</v>
      </c>
      <c r="M43" s="343"/>
      <c r="N43" s="344"/>
      <c r="O43" s="342">
        <f>SUMIFS('1. Staff Costs'!P:P,'1. Staff Costs'!C:C,B43,'1. Staff Costs'!B:B,$O$20,'1. Staff Costs'!Q:Q,"&lt;&gt;Error")+SUMIFS('2-3-6. Travel Costs&amp;CoS&amp;EC'!W:W,'2-3-6. Travel Costs&amp;CoS&amp;EC'!C:C,B43,'2-3-6. Travel Costs&amp;CoS&amp;EC'!B:B,$O$20,'2-3-6. Travel Costs&amp;CoS&amp;EC'!X:X,"&lt;&gt;Error")+SUMIFS('4. Equipment Costs'!R:R,'4. Equipment Costs'!C:C,B43,'4. Equipment Costs'!B:B,$O$20,'4. Equipment Costs'!S:S,"&lt;&gt;Error")+SUMIFS('5. Subcontracting Costs'!R:R,'5. Subcontracting Costs'!C:C,B43,'5. Subcontracting Costs'!B:B,$O$20,'5. Subcontracting Costs'!S:S,"&lt;&gt;Error")</f>
        <v>0</v>
      </c>
      <c r="P43" s="343"/>
      <c r="Q43" s="344"/>
      <c r="R43" s="342">
        <f>SUMIFS('1. Staff Costs'!P:P,'1. Staff Costs'!C:C,B43,'1. Staff Costs'!B:B,$R$20,'1. Staff Costs'!Q:Q,"&lt;&gt;Error")+SUMIFS('2-3-6. Travel Costs&amp;CoS&amp;EC'!W:W,'2-3-6. Travel Costs&amp;CoS&amp;EC'!C:C,B43,'2-3-6. Travel Costs&amp;CoS&amp;EC'!B:B,$R$20,'2-3-6. Travel Costs&amp;CoS&amp;EC'!X:X,"&lt;&gt;Error")+SUMIFS('4. Equipment Costs'!R:R,'4. Equipment Costs'!C:C,B43,'4. Equipment Costs'!B:B,$R$20,'4. Equipment Costs'!S:S,"&lt;&gt;Error")+SUMIFS('5. Subcontracting Costs'!R:R,'5. Subcontracting Costs'!C:C,B43,'5. Subcontracting Costs'!B:B,$R$20,'5. Subcontracting Costs'!S:S,"&lt;&gt;Error")</f>
        <v>0</v>
      </c>
      <c r="S43" s="343"/>
      <c r="T43" s="344"/>
      <c r="U43" s="185">
        <f t="shared" si="4"/>
        <v>0</v>
      </c>
    </row>
    <row r="44" spans="2:21" x14ac:dyDescent="0.4">
      <c r="B44" s="208" t="s">
        <v>109</v>
      </c>
      <c r="C44" s="171" t="str">
        <f>IF('Final financial statement'!E46=0,"",'Final financial statement'!E46)</f>
        <v/>
      </c>
      <c r="D44" s="336" t="str">
        <f>IF('Final financial statement'!D46=0,"",'Final financial statement'!D46)</f>
        <v/>
      </c>
      <c r="E44" s="337"/>
      <c r="F44" s="342">
        <f>SUMIFS('1. Staff Costs'!P:P,'1. Staff Costs'!C:C,B44,'1. Staff Costs'!B:B,$F$20,'1. Staff Costs'!Q:Q,"&lt;&gt;Error")+SUMIFS('2-3-6. Travel Costs&amp;CoS&amp;EC'!W:W,'2-3-6. Travel Costs&amp;CoS&amp;EC'!C:C,B44,'2-3-6. Travel Costs&amp;CoS&amp;EC'!B:B,$F$20,'2-3-6. Travel Costs&amp;CoS&amp;EC'!X:X,"&lt;&gt;Error")+SUMIFS('4. Equipment Costs'!R:R,'4. Equipment Costs'!C:C,B44,'4. Equipment Costs'!B:B,$F$20,'4. Equipment Costs'!S:S,"&lt;&gt;Error")+SUMIFS('5. Subcontracting Costs'!R:R,'5. Subcontracting Costs'!C:C,B44,'5. Subcontracting Costs'!B:B,$F$20,'5. Subcontracting Costs'!S:S,"&lt;&gt;Error")</f>
        <v>0</v>
      </c>
      <c r="G44" s="343"/>
      <c r="H44" s="344"/>
      <c r="I44" s="342">
        <f>SUMIFS('1. Staff Costs'!P:P,'1. Staff Costs'!C:C,B44,'1. Staff Costs'!B:B,$I$20,'1. Staff Costs'!Q:Q,"&lt;&gt;Error")+SUMIFS('2-3-6. Travel Costs&amp;CoS&amp;EC'!W:W,'2-3-6. Travel Costs&amp;CoS&amp;EC'!C:C,B44,'2-3-6. Travel Costs&amp;CoS&amp;EC'!B:B,$I$20,'2-3-6. Travel Costs&amp;CoS&amp;EC'!X:X,"&lt;&gt;Error")+SUMIFS('4. Equipment Costs'!R:R,'4. Equipment Costs'!C:C,B44,'4. Equipment Costs'!B:B,$I$20,'4. Equipment Costs'!S:S,"&lt;&gt;Error")+SUMIFS('5. Subcontracting Costs'!R:R,'5. Subcontracting Costs'!C:C,B44,'5. Subcontracting Costs'!B:B,$I$20,'5. Subcontracting Costs'!S:S,"&lt;&gt;Error")</f>
        <v>0</v>
      </c>
      <c r="J44" s="343"/>
      <c r="K44" s="344"/>
      <c r="L44" s="342">
        <f>SUMIFS('1. Staff Costs'!P:P,'1. Staff Costs'!C:C,B44,'1. Staff Costs'!B:B,$L$20,'1. Staff Costs'!Q:Q,"&lt;&gt;Error")+SUMIFS('2-3-6. Travel Costs&amp;CoS&amp;EC'!W:W,'2-3-6. Travel Costs&amp;CoS&amp;EC'!C:C,B44,'2-3-6. Travel Costs&amp;CoS&amp;EC'!B:B,$L$20,'2-3-6. Travel Costs&amp;CoS&amp;EC'!X:X,"&lt;&gt;Error")+SUMIFS('4. Equipment Costs'!R:R,'4. Equipment Costs'!C:C,B44,'4. Equipment Costs'!B:B,$L$20,'4. Equipment Costs'!S:S,"&lt;&gt;Error")+SUMIFS('5. Subcontracting Costs'!R:R,'5. Subcontracting Costs'!C:C,B44,'5. Subcontracting Costs'!B:B,$L$20,'5. Subcontracting Costs'!S:S,"&lt;&gt;Error")</f>
        <v>0</v>
      </c>
      <c r="M44" s="343"/>
      <c r="N44" s="344"/>
      <c r="O44" s="342">
        <f>SUMIFS('1. Staff Costs'!P:P,'1. Staff Costs'!C:C,B44,'1. Staff Costs'!B:B,$O$20,'1. Staff Costs'!Q:Q,"&lt;&gt;Error")+SUMIFS('2-3-6. Travel Costs&amp;CoS&amp;EC'!W:W,'2-3-6. Travel Costs&amp;CoS&amp;EC'!C:C,B44,'2-3-6. Travel Costs&amp;CoS&amp;EC'!B:B,$O$20,'2-3-6. Travel Costs&amp;CoS&amp;EC'!X:X,"&lt;&gt;Error")+SUMIFS('4. Equipment Costs'!R:R,'4. Equipment Costs'!C:C,B44,'4. Equipment Costs'!B:B,$O$20,'4. Equipment Costs'!S:S,"&lt;&gt;Error")+SUMIFS('5. Subcontracting Costs'!R:R,'5. Subcontracting Costs'!C:C,B44,'5. Subcontracting Costs'!B:B,$O$20,'5. Subcontracting Costs'!S:S,"&lt;&gt;Error")</f>
        <v>0</v>
      </c>
      <c r="P44" s="343"/>
      <c r="Q44" s="344"/>
      <c r="R44" s="342">
        <f>SUMIFS('1. Staff Costs'!P:P,'1. Staff Costs'!C:C,B44,'1. Staff Costs'!B:B,$R$20,'1. Staff Costs'!Q:Q,"&lt;&gt;Error")+SUMIFS('2-3-6. Travel Costs&amp;CoS&amp;EC'!W:W,'2-3-6. Travel Costs&amp;CoS&amp;EC'!C:C,B44,'2-3-6. Travel Costs&amp;CoS&amp;EC'!B:B,$R$20,'2-3-6. Travel Costs&amp;CoS&amp;EC'!X:X,"&lt;&gt;Error")+SUMIFS('4. Equipment Costs'!R:R,'4. Equipment Costs'!C:C,B44,'4. Equipment Costs'!B:B,$R$20,'4. Equipment Costs'!S:S,"&lt;&gt;Error")+SUMIFS('5. Subcontracting Costs'!R:R,'5. Subcontracting Costs'!C:C,B44,'5. Subcontracting Costs'!B:B,$R$20,'5. Subcontracting Costs'!S:S,"&lt;&gt;Error")</f>
        <v>0</v>
      </c>
      <c r="S44" s="343"/>
      <c r="T44" s="344"/>
      <c r="U44" s="185">
        <f t="shared" si="4"/>
        <v>0</v>
      </c>
    </row>
    <row r="45" spans="2:21" x14ac:dyDescent="0.4">
      <c r="B45" s="208" t="s">
        <v>110</v>
      </c>
      <c r="C45" s="171" t="str">
        <f>IF('Final financial statement'!E47=0,"",'Final financial statement'!E47)</f>
        <v/>
      </c>
      <c r="D45" s="336" t="str">
        <f>IF('Final financial statement'!D47=0,"",'Final financial statement'!D47)</f>
        <v/>
      </c>
      <c r="E45" s="337"/>
      <c r="F45" s="342">
        <f>SUMIFS('1. Staff Costs'!P:P,'1. Staff Costs'!C:C,B45,'1. Staff Costs'!B:B,$F$20,'1. Staff Costs'!Q:Q,"&lt;&gt;Error")+SUMIFS('2-3-6. Travel Costs&amp;CoS&amp;EC'!W:W,'2-3-6. Travel Costs&amp;CoS&amp;EC'!C:C,B45,'2-3-6. Travel Costs&amp;CoS&amp;EC'!B:B,$F$20,'2-3-6. Travel Costs&amp;CoS&amp;EC'!X:X,"&lt;&gt;Error")+SUMIFS('4. Equipment Costs'!R:R,'4. Equipment Costs'!C:C,B45,'4. Equipment Costs'!B:B,$F$20,'4. Equipment Costs'!S:S,"&lt;&gt;Error")+SUMIFS('5. Subcontracting Costs'!R:R,'5. Subcontracting Costs'!C:C,B45,'5. Subcontracting Costs'!B:B,$F$20,'5. Subcontracting Costs'!S:S,"&lt;&gt;Error")</f>
        <v>0</v>
      </c>
      <c r="G45" s="343"/>
      <c r="H45" s="344"/>
      <c r="I45" s="342">
        <f>SUMIFS('1. Staff Costs'!P:P,'1. Staff Costs'!C:C,B45,'1. Staff Costs'!B:B,$I$20,'1. Staff Costs'!Q:Q,"&lt;&gt;Error")+SUMIFS('2-3-6. Travel Costs&amp;CoS&amp;EC'!W:W,'2-3-6. Travel Costs&amp;CoS&amp;EC'!C:C,B45,'2-3-6. Travel Costs&amp;CoS&amp;EC'!B:B,$I$20,'2-3-6. Travel Costs&amp;CoS&amp;EC'!X:X,"&lt;&gt;Error")+SUMIFS('4. Equipment Costs'!R:R,'4. Equipment Costs'!C:C,B45,'4. Equipment Costs'!B:B,$I$20,'4. Equipment Costs'!S:S,"&lt;&gt;Error")+SUMIFS('5. Subcontracting Costs'!R:R,'5. Subcontracting Costs'!C:C,B45,'5. Subcontracting Costs'!B:B,$I$20,'5. Subcontracting Costs'!S:S,"&lt;&gt;Error")</f>
        <v>0</v>
      </c>
      <c r="J45" s="343"/>
      <c r="K45" s="344"/>
      <c r="L45" s="342">
        <f>SUMIFS('1. Staff Costs'!P:P,'1. Staff Costs'!C:C,B45,'1. Staff Costs'!B:B,$L$20,'1. Staff Costs'!Q:Q,"&lt;&gt;Error")+SUMIFS('2-3-6. Travel Costs&amp;CoS&amp;EC'!W:W,'2-3-6. Travel Costs&amp;CoS&amp;EC'!C:C,B45,'2-3-6. Travel Costs&amp;CoS&amp;EC'!B:B,$L$20,'2-3-6. Travel Costs&amp;CoS&amp;EC'!X:X,"&lt;&gt;Error")+SUMIFS('4. Equipment Costs'!R:R,'4. Equipment Costs'!C:C,B45,'4. Equipment Costs'!B:B,$L$20,'4. Equipment Costs'!S:S,"&lt;&gt;Error")+SUMIFS('5. Subcontracting Costs'!R:R,'5. Subcontracting Costs'!C:C,B45,'5. Subcontracting Costs'!B:B,$L$20,'5. Subcontracting Costs'!S:S,"&lt;&gt;Error")</f>
        <v>0</v>
      </c>
      <c r="M45" s="343"/>
      <c r="N45" s="344"/>
      <c r="O45" s="342">
        <f>SUMIFS('1. Staff Costs'!P:P,'1. Staff Costs'!C:C,B45,'1. Staff Costs'!B:B,$O$20,'1. Staff Costs'!Q:Q,"&lt;&gt;Error")+SUMIFS('2-3-6. Travel Costs&amp;CoS&amp;EC'!W:W,'2-3-6. Travel Costs&amp;CoS&amp;EC'!C:C,B45,'2-3-6. Travel Costs&amp;CoS&amp;EC'!B:B,$O$20,'2-3-6. Travel Costs&amp;CoS&amp;EC'!X:X,"&lt;&gt;Error")+SUMIFS('4. Equipment Costs'!R:R,'4. Equipment Costs'!C:C,B45,'4. Equipment Costs'!B:B,$O$20,'4. Equipment Costs'!S:S,"&lt;&gt;Error")+SUMIFS('5. Subcontracting Costs'!R:R,'5. Subcontracting Costs'!C:C,B45,'5. Subcontracting Costs'!B:B,$O$20,'5. Subcontracting Costs'!S:S,"&lt;&gt;Error")</f>
        <v>0</v>
      </c>
      <c r="P45" s="343"/>
      <c r="Q45" s="344"/>
      <c r="R45" s="342">
        <f>SUMIFS('1. Staff Costs'!P:P,'1. Staff Costs'!C:C,B45,'1. Staff Costs'!B:B,$R$20,'1. Staff Costs'!Q:Q,"&lt;&gt;Error")+SUMIFS('2-3-6. Travel Costs&amp;CoS&amp;EC'!W:W,'2-3-6. Travel Costs&amp;CoS&amp;EC'!C:C,B45,'2-3-6. Travel Costs&amp;CoS&amp;EC'!B:B,$R$20,'2-3-6. Travel Costs&amp;CoS&amp;EC'!X:X,"&lt;&gt;Error")+SUMIFS('4. Equipment Costs'!R:R,'4. Equipment Costs'!C:C,B45,'4. Equipment Costs'!B:B,$R$20,'4. Equipment Costs'!S:S,"&lt;&gt;Error")+SUMIFS('5. Subcontracting Costs'!R:R,'5. Subcontracting Costs'!C:C,B45,'5. Subcontracting Costs'!B:B,$R$20,'5. Subcontracting Costs'!S:S,"&lt;&gt;Error")</f>
        <v>0</v>
      </c>
      <c r="S45" s="343"/>
      <c r="T45" s="344"/>
      <c r="U45" s="185">
        <f t="shared" si="4"/>
        <v>0</v>
      </c>
    </row>
    <row r="46" spans="2:21" x14ac:dyDescent="0.4">
      <c r="B46" s="208" t="s">
        <v>111</v>
      </c>
      <c r="C46" s="171" t="str">
        <f>IF('Final financial statement'!E48=0,"",'Final financial statement'!E48)</f>
        <v/>
      </c>
      <c r="D46" s="336" t="str">
        <f>IF('Final financial statement'!D48=0,"",'Final financial statement'!D48)</f>
        <v/>
      </c>
      <c r="E46" s="337"/>
      <c r="F46" s="342">
        <f>SUMIFS('1. Staff Costs'!P:P,'1. Staff Costs'!C:C,B46,'1. Staff Costs'!B:B,$F$20,'1. Staff Costs'!Q:Q,"&lt;&gt;Error")+SUMIFS('2-3-6. Travel Costs&amp;CoS&amp;EC'!W:W,'2-3-6. Travel Costs&amp;CoS&amp;EC'!C:C,B46,'2-3-6. Travel Costs&amp;CoS&amp;EC'!B:B,$F$20,'2-3-6. Travel Costs&amp;CoS&amp;EC'!X:X,"&lt;&gt;Error")+SUMIFS('4. Equipment Costs'!R:R,'4. Equipment Costs'!C:C,B46,'4. Equipment Costs'!B:B,$F$20,'4. Equipment Costs'!S:S,"&lt;&gt;Error")+SUMIFS('5. Subcontracting Costs'!R:R,'5. Subcontracting Costs'!C:C,B46,'5. Subcontracting Costs'!B:B,$F$20,'5. Subcontracting Costs'!S:S,"&lt;&gt;Error")</f>
        <v>0</v>
      </c>
      <c r="G46" s="343"/>
      <c r="H46" s="344"/>
      <c r="I46" s="342">
        <f>SUMIFS('1. Staff Costs'!P:P,'1. Staff Costs'!C:C,B46,'1. Staff Costs'!B:B,$I$20,'1. Staff Costs'!Q:Q,"&lt;&gt;Error")+SUMIFS('2-3-6. Travel Costs&amp;CoS&amp;EC'!W:W,'2-3-6. Travel Costs&amp;CoS&amp;EC'!C:C,B46,'2-3-6. Travel Costs&amp;CoS&amp;EC'!B:B,$I$20,'2-3-6. Travel Costs&amp;CoS&amp;EC'!X:X,"&lt;&gt;Error")+SUMIFS('4. Equipment Costs'!R:R,'4. Equipment Costs'!C:C,B46,'4. Equipment Costs'!B:B,$I$20,'4. Equipment Costs'!S:S,"&lt;&gt;Error")+SUMIFS('5. Subcontracting Costs'!R:R,'5. Subcontracting Costs'!C:C,B46,'5. Subcontracting Costs'!B:B,$I$20,'5. Subcontracting Costs'!S:S,"&lt;&gt;Error")</f>
        <v>0</v>
      </c>
      <c r="J46" s="343"/>
      <c r="K46" s="344"/>
      <c r="L46" s="342">
        <f>SUMIFS('1. Staff Costs'!P:P,'1. Staff Costs'!C:C,B46,'1. Staff Costs'!B:B,$L$20,'1. Staff Costs'!Q:Q,"&lt;&gt;Error")+SUMIFS('2-3-6. Travel Costs&amp;CoS&amp;EC'!W:W,'2-3-6. Travel Costs&amp;CoS&amp;EC'!C:C,B46,'2-3-6. Travel Costs&amp;CoS&amp;EC'!B:B,$L$20,'2-3-6. Travel Costs&amp;CoS&amp;EC'!X:X,"&lt;&gt;Error")+SUMIFS('4. Equipment Costs'!R:R,'4. Equipment Costs'!C:C,B46,'4. Equipment Costs'!B:B,$L$20,'4. Equipment Costs'!S:S,"&lt;&gt;Error")+SUMIFS('5. Subcontracting Costs'!R:R,'5. Subcontracting Costs'!C:C,B46,'5. Subcontracting Costs'!B:B,$L$20,'5. Subcontracting Costs'!S:S,"&lt;&gt;Error")</f>
        <v>0</v>
      </c>
      <c r="M46" s="343"/>
      <c r="N46" s="344"/>
      <c r="O46" s="342">
        <f>SUMIFS('1. Staff Costs'!P:P,'1. Staff Costs'!C:C,B46,'1. Staff Costs'!B:B,$O$20,'1. Staff Costs'!Q:Q,"&lt;&gt;Error")+SUMIFS('2-3-6. Travel Costs&amp;CoS&amp;EC'!W:W,'2-3-6. Travel Costs&amp;CoS&amp;EC'!C:C,B46,'2-3-6. Travel Costs&amp;CoS&amp;EC'!B:B,$O$20,'2-3-6. Travel Costs&amp;CoS&amp;EC'!X:X,"&lt;&gt;Error")+SUMIFS('4. Equipment Costs'!R:R,'4. Equipment Costs'!C:C,B46,'4. Equipment Costs'!B:B,$O$20,'4. Equipment Costs'!S:S,"&lt;&gt;Error")+SUMIFS('5. Subcontracting Costs'!R:R,'5. Subcontracting Costs'!C:C,B46,'5. Subcontracting Costs'!B:B,$O$20,'5. Subcontracting Costs'!S:S,"&lt;&gt;Error")</f>
        <v>0</v>
      </c>
      <c r="P46" s="343"/>
      <c r="Q46" s="344"/>
      <c r="R46" s="342">
        <f>SUMIFS('1. Staff Costs'!P:P,'1. Staff Costs'!C:C,B46,'1. Staff Costs'!B:B,$R$20,'1. Staff Costs'!Q:Q,"&lt;&gt;Error")+SUMIFS('2-3-6. Travel Costs&amp;CoS&amp;EC'!W:W,'2-3-6. Travel Costs&amp;CoS&amp;EC'!C:C,B46,'2-3-6. Travel Costs&amp;CoS&amp;EC'!B:B,$R$20,'2-3-6. Travel Costs&amp;CoS&amp;EC'!X:X,"&lt;&gt;Error")+SUMIFS('4. Equipment Costs'!R:R,'4. Equipment Costs'!C:C,B46,'4. Equipment Costs'!B:B,$R$20,'4. Equipment Costs'!S:S,"&lt;&gt;Error")+SUMIFS('5. Subcontracting Costs'!R:R,'5. Subcontracting Costs'!C:C,B46,'5. Subcontracting Costs'!B:B,$R$20,'5. Subcontracting Costs'!S:S,"&lt;&gt;Error")</f>
        <v>0</v>
      </c>
      <c r="S46" s="343"/>
      <c r="T46" s="344"/>
      <c r="U46" s="185">
        <f t="shared" si="4"/>
        <v>0</v>
      </c>
    </row>
    <row r="47" spans="2:21" x14ac:dyDescent="0.4">
      <c r="B47" s="208" t="s">
        <v>112</v>
      </c>
      <c r="C47" s="171" t="str">
        <f>IF('Final financial statement'!E49=0,"",'Final financial statement'!E49)</f>
        <v/>
      </c>
      <c r="D47" s="336" t="str">
        <f>IF('Final financial statement'!D49=0,"",'Final financial statement'!D49)</f>
        <v/>
      </c>
      <c r="E47" s="337"/>
      <c r="F47" s="342">
        <f>SUMIFS('1. Staff Costs'!P:P,'1. Staff Costs'!C:C,B47,'1. Staff Costs'!B:B,$F$20,'1. Staff Costs'!Q:Q,"&lt;&gt;Error")+SUMIFS('2-3-6. Travel Costs&amp;CoS&amp;EC'!W:W,'2-3-6. Travel Costs&amp;CoS&amp;EC'!C:C,B47,'2-3-6. Travel Costs&amp;CoS&amp;EC'!B:B,$F$20,'2-3-6. Travel Costs&amp;CoS&amp;EC'!X:X,"&lt;&gt;Error")+SUMIFS('4. Equipment Costs'!R:R,'4. Equipment Costs'!C:C,B47,'4. Equipment Costs'!B:B,$F$20,'4. Equipment Costs'!S:S,"&lt;&gt;Error")+SUMIFS('5. Subcontracting Costs'!R:R,'5. Subcontracting Costs'!C:C,B47,'5. Subcontracting Costs'!B:B,$F$20,'5. Subcontracting Costs'!S:S,"&lt;&gt;Error")</f>
        <v>0</v>
      </c>
      <c r="G47" s="343"/>
      <c r="H47" s="344"/>
      <c r="I47" s="342">
        <f>SUMIFS('1. Staff Costs'!P:P,'1. Staff Costs'!C:C,B47,'1. Staff Costs'!B:B,$I$20,'1. Staff Costs'!Q:Q,"&lt;&gt;Error")+SUMIFS('2-3-6. Travel Costs&amp;CoS&amp;EC'!W:W,'2-3-6. Travel Costs&amp;CoS&amp;EC'!C:C,B47,'2-3-6. Travel Costs&amp;CoS&amp;EC'!B:B,$I$20,'2-3-6. Travel Costs&amp;CoS&amp;EC'!X:X,"&lt;&gt;Error")+SUMIFS('4. Equipment Costs'!R:R,'4. Equipment Costs'!C:C,B47,'4. Equipment Costs'!B:B,$I$20,'4. Equipment Costs'!S:S,"&lt;&gt;Error")+SUMIFS('5. Subcontracting Costs'!R:R,'5. Subcontracting Costs'!C:C,B47,'5. Subcontracting Costs'!B:B,$I$20,'5. Subcontracting Costs'!S:S,"&lt;&gt;Error")</f>
        <v>0</v>
      </c>
      <c r="J47" s="343"/>
      <c r="K47" s="344"/>
      <c r="L47" s="342">
        <f>SUMIFS('1. Staff Costs'!P:P,'1. Staff Costs'!C:C,B47,'1. Staff Costs'!B:B,$L$20,'1. Staff Costs'!Q:Q,"&lt;&gt;Error")+SUMIFS('2-3-6. Travel Costs&amp;CoS&amp;EC'!W:W,'2-3-6. Travel Costs&amp;CoS&amp;EC'!C:C,B47,'2-3-6. Travel Costs&amp;CoS&amp;EC'!B:B,$L$20,'2-3-6. Travel Costs&amp;CoS&amp;EC'!X:X,"&lt;&gt;Error")+SUMIFS('4. Equipment Costs'!R:R,'4. Equipment Costs'!C:C,B47,'4. Equipment Costs'!B:B,$L$20,'4. Equipment Costs'!S:S,"&lt;&gt;Error")+SUMIFS('5. Subcontracting Costs'!R:R,'5. Subcontracting Costs'!C:C,B47,'5. Subcontracting Costs'!B:B,$L$20,'5. Subcontracting Costs'!S:S,"&lt;&gt;Error")</f>
        <v>0</v>
      </c>
      <c r="M47" s="343"/>
      <c r="N47" s="344"/>
      <c r="O47" s="342">
        <f>SUMIFS('1. Staff Costs'!P:P,'1. Staff Costs'!C:C,B47,'1. Staff Costs'!B:B,$O$20,'1. Staff Costs'!Q:Q,"&lt;&gt;Error")+SUMIFS('2-3-6. Travel Costs&amp;CoS&amp;EC'!W:W,'2-3-6. Travel Costs&amp;CoS&amp;EC'!C:C,B47,'2-3-6. Travel Costs&amp;CoS&amp;EC'!B:B,$O$20,'2-3-6. Travel Costs&amp;CoS&amp;EC'!X:X,"&lt;&gt;Error")+SUMIFS('4. Equipment Costs'!R:R,'4. Equipment Costs'!C:C,B47,'4. Equipment Costs'!B:B,$O$20,'4. Equipment Costs'!S:S,"&lt;&gt;Error")+SUMIFS('5. Subcontracting Costs'!R:R,'5. Subcontracting Costs'!C:C,B47,'5. Subcontracting Costs'!B:B,$O$20,'5. Subcontracting Costs'!S:S,"&lt;&gt;Error")</f>
        <v>0</v>
      </c>
      <c r="P47" s="343"/>
      <c r="Q47" s="344"/>
      <c r="R47" s="342">
        <f>SUMIFS('1. Staff Costs'!P:P,'1. Staff Costs'!C:C,B47,'1. Staff Costs'!B:B,$R$20,'1. Staff Costs'!Q:Q,"&lt;&gt;Error")+SUMIFS('2-3-6. Travel Costs&amp;CoS&amp;EC'!W:W,'2-3-6. Travel Costs&amp;CoS&amp;EC'!C:C,B47,'2-3-6. Travel Costs&amp;CoS&amp;EC'!B:B,$R$20,'2-3-6. Travel Costs&amp;CoS&amp;EC'!X:X,"&lt;&gt;Error")+SUMIFS('4. Equipment Costs'!R:R,'4. Equipment Costs'!C:C,B47,'4. Equipment Costs'!B:B,$R$20,'4. Equipment Costs'!S:S,"&lt;&gt;Error")+SUMIFS('5. Subcontracting Costs'!R:R,'5. Subcontracting Costs'!C:C,B47,'5. Subcontracting Costs'!B:B,$R$20,'5. Subcontracting Costs'!S:S,"&lt;&gt;Error")</f>
        <v>0</v>
      </c>
      <c r="S47" s="343"/>
      <c r="T47" s="344"/>
      <c r="U47" s="185">
        <f t="shared" si="4"/>
        <v>0</v>
      </c>
    </row>
    <row r="48" spans="2:21" x14ac:dyDescent="0.4">
      <c r="B48" s="208" t="s">
        <v>113</v>
      </c>
      <c r="C48" s="171" t="str">
        <f>IF('Final financial statement'!E50=0,"",'Final financial statement'!E50)</f>
        <v/>
      </c>
      <c r="D48" s="336" t="str">
        <f>IF('Final financial statement'!D50=0,"",'Final financial statement'!D50)</f>
        <v/>
      </c>
      <c r="E48" s="337"/>
      <c r="F48" s="342">
        <f>SUMIFS('1. Staff Costs'!P:P,'1. Staff Costs'!C:C,B48,'1. Staff Costs'!B:B,$F$20,'1. Staff Costs'!Q:Q,"&lt;&gt;Error")+SUMIFS('2-3-6. Travel Costs&amp;CoS&amp;EC'!W:W,'2-3-6. Travel Costs&amp;CoS&amp;EC'!C:C,B48,'2-3-6. Travel Costs&amp;CoS&amp;EC'!B:B,$F$20,'2-3-6. Travel Costs&amp;CoS&amp;EC'!X:X,"&lt;&gt;Error")+SUMIFS('4. Equipment Costs'!R:R,'4. Equipment Costs'!C:C,B48,'4. Equipment Costs'!B:B,$F$20,'4. Equipment Costs'!S:S,"&lt;&gt;Error")+SUMIFS('5. Subcontracting Costs'!R:R,'5. Subcontracting Costs'!C:C,B48,'5. Subcontracting Costs'!B:B,$F$20,'5. Subcontracting Costs'!S:S,"&lt;&gt;Error")</f>
        <v>0</v>
      </c>
      <c r="G48" s="343"/>
      <c r="H48" s="344"/>
      <c r="I48" s="342">
        <f>SUMIFS('1. Staff Costs'!P:P,'1. Staff Costs'!C:C,B48,'1. Staff Costs'!B:B,$I$20,'1. Staff Costs'!Q:Q,"&lt;&gt;Error")+SUMIFS('2-3-6. Travel Costs&amp;CoS&amp;EC'!W:W,'2-3-6. Travel Costs&amp;CoS&amp;EC'!C:C,B48,'2-3-6. Travel Costs&amp;CoS&amp;EC'!B:B,$I$20,'2-3-6. Travel Costs&amp;CoS&amp;EC'!X:X,"&lt;&gt;Error")+SUMIFS('4. Equipment Costs'!R:R,'4. Equipment Costs'!C:C,B48,'4. Equipment Costs'!B:B,$I$20,'4. Equipment Costs'!S:S,"&lt;&gt;Error")+SUMIFS('5. Subcontracting Costs'!R:R,'5. Subcontracting Costs'!C:C,B48,'5. Subcontracting Costs'!B:B,$I$20,'5. Subcontracting Costs'!S:S,"&lt;&gt;Error")</f>
        <v>0</v>
      </c>
      <c r="J48" s="343"/>
      <c r="K48" s="344"/>
      <c r="L48" s="342">
        <f>SUMIFS('1. Staff Costs'!P:P,'1. Staff Costs'!C:C,B48,'1. Staff Costs'!B:B,$L$20,'1. Staff Costs'!Q:Q,"&lt;&gt;Error")+SUMIFS('2-3-6. Travel Costs&amp;CoS&amp;EC'!W:W,'2-3-6. Travel Costs&amp;CoS&amp;EC'!C:C,B48,'2-3-6. Travel Costs&amp;CoS&amp;EC'!B:B,$L$20,'2-3-6. Travel Costs&amp;CoS&amp;EC'!X:X,"&lt;&gt;Error")+SUMIFS('4. Equipment Costs'!R:R,'4. Equipment Costs'!C:C,B48,'4. Equipment Costs'!B:B,$L$20,'4. Equipment Costs'!S:S,"&lt;&gt;Error")+SUMIFS('5. Subcontracting Costs'!R:R,'5. Subcontracting Costs'!C:C,B48,'5. Subcontracting Costs'!B:B,$L$20,'5. Subcontracting Costs'!S:S,"&lt;&gt;Error")</f>
        <v>0</v>
      </c>
      <c r="M48" s="343"/>
      <c r="N48" s="344"/>
      <c r="O48" s="342">
        <f>SUMIFS('1. Staff Costs'!P:P,'1. Staff Costs'!C:C,B48,'1. Staff Costs'!B:B,$O$20,'1. Staff Costs'!Q:Q,"&lt;&gt;Error")+SUMIFS('2-3-6. Travel Costs&amp;CoS&amp;EC'!W:W,'2-3-6. Travel Costs&amp;CoS&amp;EC'!C:C,B48,'2-3-6. Travel Costs&amp;CoS&amp;EC'!B:B,$O$20,'2-3-6. Travel Costs&amp;CoS&amp;EC'!X:X,"&lt;&gt;Error")+SUMIFS('4. Equipment Costs'!R:R,'4. Equipment Costs'!C:C,B48,'4. Equipment Costs'!B:B,$O$20,'4. Equipment Costs'!S:S,"&lt;&gt;Error")+SUMIFS('5. Subcontracting Costs'!R:R,'5. Subcontracting Costs'!C:C,B48,'5. Subcontracting Costs'!B:B,$O$20,'5. Subcontracting Costs'!S:S,"&lt;&gt;Error")</f>
        <v>0</v>
      </c>
      <c r="P48" s="343"/>
      <c r="Q48" s="344"/>
      <c r="R48" s="342">
        <f>SUMIFS('1. Staff Costs'!P:P,'1. Staff Costs'!C:C,B48,'1. Staff Costs'!B:B,$R$20,'1. Staff Costs'!Q:Q,"&lt;&gt;Error")+SUMIFS('2-3-6. Travel Costs&amp;CoS&amp;EC'!W:W,'2-3-6. Travel Costs&amp;CoS&amp;EC'!C:C,B48,'2-3-6. Travel Costs&amp;CoS&amp;EC'!B:B,$R$20,'2-3-6. Travel Costs&amp;CoS&amp;EC'!X:X,"&lt;&gt;Error")+SUMIFS('4. Equipment Costs'!R:R,'4. Equipment Costs'!C:C,B48,'4. Equipment Costs'!B:B,$R$20,'4. Equipment Costs'!S:S,"&lt;&gt;Error")+SUMIFS('5. Subcontracting Costs'!R:R,'5. Subcontracting Costs'!C:C,B48,'5. Subcontracting Costs'!B:B,$R$20,'5. Subcontracting Costs'!S:S,"&lt;&gt;Error")</f>
        <v>0</v>
      </c>
      <c r="S48" s="343"/>
      <c r="T48" s="344"/>
      <c r="U48" s="185">
        <f t="shared" si="4"/>
        <v>0</v>
      </c>
    </row>
    <row r="49" spans="2:21" x14ac:dyDescent="0.4">
      <c r="B49" s="208" t="s">
        <v>114</v>
      </c>
      <c r="C49" s="171" t="str">
        <f>IF('Final financial statement'!E51=0,"",'Final financial statement'!E51)</f>
        <v/>
      </c>
      <c r="D49" s="336" t="str">
        <f>IF('Final financial statement'!D51=0,"",'Final financial statement'!D51)</f>
        <v/>
      </c>
      <c r="E49" s="337"/>
      <c r="F49" s="342">
        <f>SUMIFS('1. Staff Costs'!P:P,'1. Staff Costs'!C:C,B49,'1. Staff Costs'!B:B,$F$20,'1. Staff Costs'!Q:Q,"&lt;&gt;Error")+SUMIFS('2-3-6. Travel Costs&amp;CoS&amp;EC'!W:W,'2-3-6. Travel Costs&amp;CoS&amp;EC'!C:C,B49,'2-3-6. Travel Costs&amp;CoS&amp;EC'!B:B,$F$20,'2-3-6. Travel Costs&amp;CoS&amp;EC'!X:X,"&lt;&gt;Error")+SUMIFS('4. Equipment Costs'!R:R,'4. Equipment Costs'!C:C,B49,'4. Equipment Costs'!B:B,$F$20,'4. Equipment Costs'!S:S,"&lt;&gt;Error")+SUMIFS('5. Subcontracting Costs'!R:R,'5. Subcontracting Costs'!C:C,B49,'5. Subcontracting Costs'!B:B,$F$20,'5. Subcontracting Costs'!S:S,"&lt;&gt;Error")</f>
        <v>0</v>
      </c>
      <c r="G49" s="343"/>
      <c r="H49" s="344"/>
      <c r="I49" s="342">
        <f>SUMIFS('1. Staff Costs'!P:P,'1. Staff Costs'!C:C,B49,'1. Staff Costs'!B:B,$I$20,'1. Staff Costs'!Q:Q,"&lt;&gt;Error")+SUMIFS('2-3-6. Travel Costs&amp;CoS&amp;EC'!W:W,'2-3-6. Travel Costs&amp;CoS&amp;EC'!C:C,B49,'2-3-6. Travel Costs&amp;CoS&amp;EC'!B:B,$I$20,'2-3-6. Travel Costs&amp;CoS&amp;EC'!X:X,"&lt;&gt;Error")+SUMIFS('4. Equipment Costs'!R:R,'4. Equipment Costs'!C:C,B49,'4. Equipment Costs'!B:B,$I$20,'4. Equipment Costs'!S:S,"&lt;&gt;Error")+SUMIFS('5. Subcontracting Costs'!R:R,'5. Subcontracting Costs'!C:C,B49,'5. Subcontracting Costs'!B:B,$I$20,'5. Subcontracting Costs'!S:S,"&lt;&gt;Error")</f>
        <v>0</v>
      </c>
      <c r="J49" s="343"/>
      <c r="K49" s="344"/>
      <c r="L49" s="342">
        <f>SUMIFS('1. Staff Costs'!P:P,'1. Staff Costs'!C:C,B49,'1. Staff Costs'!B:B,$L$20,'1. Staff Costs'!Q:Q,"&lt;&gt;Error")+SUMIFS('2-3-6. Travel Costs&amp;CoS&amp;EC'!W:W,'2-3-6. Travel Costs&amp;CoS&amp;EC'!C:C,B49,'2-3-6. Travel Costs&amp;CoS&amp;EC'!B:B,$L$20,'2-3-6. Travel Costs&amp;CoS&amp;EC'!X:X,"&lt;&gt;Error")+SUMIFS('4. Equipment Costs'!R:R,'4. Equipment Costs'!C:C,B49,'4. Equipment Costs'!B:B,$L$20,'4. Equipment Costs'!S:S,"&lt;&gt;Error")+SUMIFS('5. Subcontracting Costs'!R:R,'5. Subcontracting Costs'!C:C,B49,'5. Subcontracting Costs'!B:B,$L$20,'5. Subcontracting Costs'!S:S,"&lt;&gt;Error")</f>
        <v>0</v>
      </c>
      <c r="M49" s="343"/>
      <c r="N49" s="344"/>
      <c r="O49" s="342">
        <f>SUMIFS('1. Staff Costs'!P:P,'1. Staff Costs'!C:C,B49,'1. Staff Costs'!B:B,$O$20,'1. Staff Costs'!Q:Q,"&lt;&gt;Error")+SUMIFS('2-3-6. Travel Costs&amp;CoS&amp;EC'!W:W,'2-3-6. Travel Costs&amp;CoS&amp;EC'!C:C,B49,'2-3-6. Travel Costs&amp;CoS&amp;EC'!B:B,$O$20,'2-3-6. Travel Costs&amp;CoS&amp;EC'!X:X,"&lt;&gt;Error")+SUMIFS('4. Equipment Costs'!R:R,'4. Equipment Costs'!C:C,B49,'4. Equipment Costs'!B:B,$O$20,'4. Equipment Costs'!S:S,"&lt;&gt;Error")+SUMIFS('5. Subcontracting Costs'!R:R,'5. Subcontracting Costs'!C:C,B49,'5. Subcontracting Costs'!B:B,$O$20,'5. Subcontracting Costs'!S:S,"&lt;&gt;Error")</f>
        <v>0</v>
      </c>
      <c r="P49" s="343"/>
      <c r="Q49" s="344"/>
      <c r="R49" s="342">
        <f>SUMIFS('1. Staff Costs'!P:P,'1. Staff Costs'!C:C,B49,'1. Staff Costs'!B:B,$R$20,'1. Staff Costs'!Q:Q,"&lt;&gt;Error")+SUMIFS('2-3-6. Travel Costs&amp;CoS&amp;EC'!W:W,'2-3-6. Travel Costs&amp;CoS&amp;EC'!C:C,B49,'2-3-6. Travel Costs&amp;CoS&amp;EC'!B:B,$R$20,'2-3-6. Travel Costs&amp;CoS&amp;EC'!X:X,"&lt;&gt;Error")+SUMIFS('4. Equipment Costs'!R:R,'4. Equipment Costs'!C:C,B49,'4. Equipment Costs'!B:B,$R$20,'4. Equipment Costs'!S:S,"&lt;&gt;Error")+SUMIFS('5. Subcontracting Costs'!R:R,'5. Subcontracting Costs'!C:C,B49,'5. Subcontracting Costs'!B:B,$R$20,'5. Subcontracting Costs'!S:S,"&lt;&gt;Error")</f>
        <v>0</v>
      </c>
      <c r="S49" s="343"/>
      <c r="T49" s="344"/>
      <c r="U49" s="185">
        <f t="shared" si="4"/>
        <v>0</v>
      </c>
    </row>
    <row r="50" spans="2:21" x14ac:dyDescent="0.4">
      <c r="B50" s="208" t="s">
        <v>115</v>
      </c>
      <c r="C50" s="171" t="str">
        <f>IF('Final financial statement'!E52=0,"",'Final financial statement'!E52)</f>
        <v/>
      </c>
      <c r="D50" s="336" t="str">
        <f>IF('Final financial statement'!D52=0,"",'Final financial statement'!D52)</f>
        <v/>
      </c>
      <c r="E50" s="337"/>
      <c r="F50" s="342">
        <f>SUMIFS('1. Staff Costs'!P:P,'1. Staff Costs'!C:C,B50,'1. Staff Costs'!B:B,$F$20,'1. Staff Costs'!Q:Q,"&lt;&gt;Error")+SUMIFS('2-3-6. Travel Costs&amp;CoS&amp;EC'!W:W,'2-3-6. Travel Costs&amp;CoS&amp;EC'!C:C,B50,'2-3-6. Travel Costs&amp;CoS&amp;EC'!B:B,$F$20,'2-3-6. Travel Costs&amp;CoS&amp;EC'!X:X,"&lt;&gt;Error")+SUMIFS('4. Equipment Costs'!R:R,'4. Equipment Costs'!C:C,B50,'4. Equipment Costs'!B:B,$F$20,'4. Equipment Costs'!S:S,"&lt;&gt;Error")+SUMIFS('5. Subcontracting Costs'!R:R,'5. Subcontracting Costs'!C:C,B50,'5. Subcontracting Costs'!B:B,$F$20,'5. Subcontracting Costs'!S:S,"&lt;&gt;Error")</f>
        <v>0</v>
      </c>
      <c r="G50" s="343"/>
      <c r="H50" s="344"/>
      <c r="I50" s="342">
        <f>SUMIFS('1. Staff Costs'!P:P,'1. Staff Costs'!C:C,B50,'1. Staff Costs'!B:B,$I$20,'1. Staff Costs'!Q:Q,"&lt;&gt;Error")+SUMIFS('2-3-6. Travel Costs&amp;CoS&amp;EC'!W:W,'2-3-6. Travel Costs&amp;CoS&amp;EC'!C:C,B50,'2-3-6. Travel Costs&amp;CoS&amp;EC'!B:B,$I$20,'2-3-6. Travel Costs&amp;CoS&amp;EC'!X:X,"&lt;&gt;Error")+SUMIFS('4. Equipment Costs'!R:R,'4. Equipment Costs'!C:C,B50,'4. Equipment Costs'!B:B,$I$20,'4. Equipment Costs'!S:S,"&lt;&gt;Error")+SUMIFS('5. Subcontracting Costs'!R:R,'5. Subcontracting Costs'!C:C,B50,'5. Subcontracting Costs'!B:B,$I$20,'5. Subcontracting Costs'!S:S,"&lt;&gt;Error")</f>
        <v>0</v>
      </c>
      <c r="J50" s="343"/>
      <c r="K50" s="344"/>
      <c r="L50" s="342">
        <f>SUMIFS('1. Staff Costs'!P:P,'1. Staff Costs'!C:C,B50,'1. Staff Costs'!B:B,$L$20,'1. Staff Costs'!Q:Q,"&lt;&gt;Error")+SUMIFS('2-3-6. Travel Costs&amp;CoS&amp;EC'!W:W,'2-3-6. Travel Costs&amp;CoS&amp;EC'!C:C,B50,'2-3-6. Travel Costs&amp;CoS&amp;EC'!B:B,$L$20,'2-3-6. Travel Costs&amp;CoS&amp;EC'!X:X,"&lt;&gt;Error")+SUMIFS('4. Equipment Costs'!R:R,'4. Equipment Costs'!C:C,B50,'4. Equipment Costs'!B:B,$L$20,'4. Equipment Costs'!S:S,"&lt;&gt;Error")+SUMIFS('5. Subcontracting Costs'!R:R,'5. Subcontracting Costs'!C:C,B50,'5. Subcontracting Costs'!B:B,$L$20,'5. Subcontracting Costs'!S:S,"&lt;&gt;Error")</f>
        <v>0</v>
      </c>
      <c r="M50" s="343"/>
      <c r="N50" s="344"/>
      <c r="O50" s="342">
        <f>SUMIFS('1. Staff Costs'!P:P,'1. Staff Costs'!C:C,B50,'1. Staff Costs'!B:B,$O$20,'1. Staff Costs'!Q:Q,"&lt;&gt;Error")+SUMIFS('2-3-6. Travel Costs&amp;CoS&amp;EC'!W:W,'2-3-6. Travel Costs&amp;CoS&amp;EC'!C:C,B50,'2-3-6. Travel Costs&amp;CoS&amp;EC'!B:B,$O$20,'2-3-6. Travel Costs&amp;CoS&amp;EC'!X:X,"&lt;&gt;Error")+SUMIFS('4. Equipment Costs'!R:R,'4. Equipment Costs'!C:C,B50,'4. Equipment Costs'!B:B,$O$20,'4. Equipment Costs'!S:S,"&lt;&gt;Error")+SUMIFS('5. Subcontracting Costs'!R:R,'5. Subcontracting Costs'!C:C,B50,'5. Subcontracting Costs'!B:B,$O$20,'5. Subcontracting Costs'!S:S,"&lt;&gt;Error")</f>
        <v>0</v>
      </c>
      <c r="P50" s="343"/>
      <c r="Q50" s="344"/>
      <c r="R50" s="342">
        <f>SUMIFS('1. Staff Costs'!P:P,'1. Staff Costs'!C:C,B50,'1. Staff Costs'!B:B,$R$20,'1. Staff Costs'!Q:Q,"&lt;&gt;Error")+SUMIFS('2-3-6. Travel Costs&amp;CoS&amp;EC'!W:W,'2-3-6. Travel Costs&amp;CoS&amp;EC'!C:C,B50,'2-3-6. Travel Costs&amp;CoS&amp;EC'!B:B,$R$20,'2-3-6. Travel Costs&amp;CoS&amp;EC'!X:X,"&lt;&gt;Error")+SUMIFS('4. Equipment Costs'!R:R,'4. Equipment Costs'!C:C,B50,'4. Equipment Costs'!B:B,$R$20,'4. Equipment Costs'!S:S,"&lt;&gt;Error")+SUMIFS('5. Subcontracting Costs'!R:R,'5. Subcontracting Costs'!C:C,B50,'5. Subcontracting Costs'!B:B,$R$20,'5. Subcontracting Costs'!S:S,"&lt;&gt;Error")</f>
        <v>0</v>
      </c>
      <c r="S50" s="343"/>
      <c r="T50" s="344"/>
      <c r="U50" s="185">
        <f t="shared" si="4"/>
        <v>0</v>
      </c>
    </row>
    <row r="51" spans="2:21" x14ac:dyDescent="0.4">
      <c r="B51" s="208" t="s">
        <v>116</v>
      </c>
      <c r="C51" s="171" t="str">
        <f>IF('Final financial statement'!E53=0,"",'Final financial statement'!E53)</f>
        <v/>
      </c>
      <c r="D51" s="336" t="str">
        <f>IF('Final financial statement'!D53=0,"",'Final financial statement'!D53)</f>
        <v/>
      </c>
      <c r="E51" s="337"/>
      <c r="F51" s="342">
        <f>SUMIFS('1. Staff Costs'!P:P,'1. Staff Costs'!C:C,B51,'1. Staff Costs'!B:B,$F$20,'1. Staff Costs'!Q:Q,"&lt;&gt;Error")+SUMIFS('2-3-6. Travel Costs&amp;CoS&amp;EC'!W:W,'2-3-6. Travel Costs&amp;CoS&amp;EC'!C:C,B51,'2-3-6. Travel Costs&amp;CoS&amp;EC'!B:B,$F$20,'2-3-6. Travel Costs&amp;CoS&amp;EC'!X:X,"&lt;&gt;Error")+SUMIFS('4. Equipment Costs'!R:R,'4. Equipment Costs'!C:C,B51,'4. Equipment Costs'!B:B,$F$20,'4. Equipment Costs'!S:S,"&lt;&gt;Error")+SUMIFS('5. Subcontracting Costs'!R:R,'5. Subcontracting Costs'!C:C,B51,'5. Subcontracting Costs'!B:B,$F$20,'5. Subcontracting Costs'!S:S,"&lt;&gt;Error")</f>
        <v>0</v>
      </c>
      <c r="G51" s="343"/>
      <c r="H51" s="344"/>
      <c r="I51" s="342">
        <f>SUMIFS('1. Staff Costs'!P:P,'1. Staff Costs'!C:C,B51,'1. Staff Costs'!B:B,$I$20,'1. Staff Costs'!Q:Q,"&lt;&gt;Error")+SUMIFS('2-3-6. Travel Costs&amp;CoS&amp;EC'!W:W,'2-3-6. Travel Costs&amp;CoS&amp;EC'!C:C,B51,'2-3-6. Travel Costs&amp;CoS&amp;EC'!B:B,$I$20,'2-3-6. Travel Costs&amp;CoS&amp;EC'!X:X,"&lt;&gt;Error")+SUMIFS('4. Equipment Costs'!R:R,'4. Equipment Costs'!C:C,B51,'4. Equipment Costs'!B:B,$I$20,'4. Equipment Costs'!S:S,"&lt;&gt;Error")+SUMIFS('5. Subcontracting Costs'!R:R,'5. Subcontracting Costs'!C:C,B51,'5. Subcontracting Costs'!B:B,$I$20,'5. Subcontracting Costs'!S:S,"&lt;&gt;Error")</f>
        <v>0</v>
      </c>
      <c r="J51" s="343"/>
      <c r="K51" s="344"/>
      <c r="L51" s="342">
        <f>SUMIFS('1. Staff Costs'!P:P,'1. Staff Costs'!C:C,B51,'1. Staff Costs'!B:B,$L$20,'1. Staff Costs'!Q:Q,"&lt;&gt;Error")+SUMIFS('2-3-6. Travel Costs&amp;CoS&amp;EC'!W:W,'2-3-6. Travel Costs&amp;CoS&amp;EC'!C:C,B51,'2-3-6. Travel Costs&amp;CoS&amp;EC'!B:B,$L$20,'2-3-6. Travel Costs&amp;CoS&amp;EC'!X:X,"&lt;&gt;Error")+SUMIFS('4. Equipment Costs'!R:R,'4. Equipment Costs'!C:C,B51,'4. Equipment Costs'!B:B,$L$20,'4. Equipment Costs'!S:S,"&lt;&gt;Error")+SUMIFS('5. Subcontracting Costs'!R:R,'5. Subcontracting Costs'!C:C,B51,'5. Subcontracting Costs'!B:B,$L$20,'5. Subcontracting Costs'!S:S,"&lt;&gt;Error")</f>
        <v>0</v>
      </c>
      <c r="M51" s="343"/>
      <c r="N51" s="344"/>
      <c r="O51" s="342">
        <f>SUMIFS('1. Staff Costs'!P:P,'1. Staff Costs'!C:C,B51,'1. Staff Costs'!B:B,$O$20,'1. Staff Costs'!Q:Q,"&lt;&gt;Error")+SUMIFS('2-3-6. Travel Costs&amp;CoS&amp;EC'!W:W,'2-3-6. Travel Costs&amp;CoS&amp;EC'!C:C,B51,'2-3-6. Travel Costs&amp;CoS&amp;EC'!B:B,$O$20,'2-3-6. Travel Costs&amp;CoS&amp;EC'!X:X,"&lt;&gt;Error")+SUMIFS('4. Equipment Costs'!R:R,'4. Equipment Costs'!C:C,B51,'4. Equipment Costs'!B:B,$O$20,'4. Equipment Costs'!S:S,"&lt;&gt;Error")+SUMIFS('5. Subcontracting Costs'!R:R,'5. Subcontracting Costs'!C:C,B51,'5. Subcontracting Costs'!B:B,$O$20,'5. Subcontracting Costs'!S:S,"&lt;&gt;Error")</f>
        <v>0</v>
      </c>
      <c r="P51" s="343"/>
      <c r="Q51" s="344"/>
      <c r="R51" s="342">
        <f>SUMIFS('1. Staff Costs'!P:P,'1. Staff Costs'!C:C,B51,'1. Staff Costs'!B:B,$R$20,'1. Staff Costs'!Q:Q,"&lt;&gt;Error")+SUMIFS('2-3-6. Travel Costs&amp;CoS&amp;EC'!W:W,'2-3-6. Travel Costs&amp;CoS&amp;EC'!C:C,B51,'2-3-6. Travel Costs&amp;CoS&amp;EC'!B:B,$R$20,'2-3-6. Travel Costs&amp;CoS&amp;EC'!X:X,"&lt;&gt;Error")+SUMIFS('4. Equipment Costs'!R:R,'4. Equipment Costs'!C:C,B51,'4. Equipment Costs'!B:B,$R$20,'4. Equipment Costs'!S:S,"&lt;&gt;Error")+SUMIFS('5. Subcontracting Costs'!R:R,'5. Subcontracting Costs'!C:C,B51,'5. Subcontracting Costs'!B:B,$R$20,'5. Subcontracting Costs'!S:S,"&lt;&gt;Error")</f>
        <v>0</v>
      </c>
      <c r="S51" s="343"/>
      <c r="T51" s="344"/>
      <c r="U51" s="185">
        <f t="shared" si="4"/>
        <v>0</v>
      </c>
    </row>
    <row r="52" spans="2:21" x14ac:dyDescent="0.4">
      <c r="B52" s="208" t="s">
        <v>117</v>
      </c>
      <c r="C52" s="171" t="str">
        <f>IF('Final financial statement'!E54=0,"",'Final financial statement'!E54)</f>
        <v/>
      </c>
      <c r="D52" s="336" t="str">
        <f>IF('Final financial statement'!D54=0,"",'Final financial statement'!D54)</f>
        <v/>
      </c>
      <c r="E52" s="337"/>
      <c r="F52" s="342">
        <f>SUMIFS('1. Staff Costs'!P:P,'1. Staff Costs'!C:C,B52,'1. Staff Costs'!B:B,$F$20,'1. Staff Costs'!Q:Q,"&lt;&gt;Error")+SUMIFS('2-3-6. Travel Costs&amp;CoS&amp;EC'!W:W,'2-3-6. Travel Costs&amp;CoS&amp;EC'!C:C,B52,'2-3-6. Travel Costs&amp;CoS&amp;EC'!B:B,$F$20,'2-3-6. Travel Costs&amp;CoS&amp;EC'!X:X,"&lt;&gt;Error")+SUMIFS('4. Equipment Costs'!R:R,'4. Equipment Costs'!C:C,B52,'4. Equipment Costs'!B:B,$F$20,'4. Equipment Costs'!S:S,"&lt;&gt;Error")+SUMIFS('5. Subcontracting Costs'!R:R,'5. Subcontracting Costs'!C:C,B52,'5. Subcontracting Costs'!B:B,$F$20,'5. Subcontracting Costs'!S:S,"&lt;&gt;Error")</f>
        <v>0</v>
      </c>
      <c r="G52" s="343"/>
      <c r="H52" s="344"/>
      <c r="I52" s="342">
        <f>SUMIFS('1. Staff Costs'!P:P,'1. Staff Costs'!C:C,B52,'1. Staff Costs'!B:B,$I$20,'1. Staff Costs'!Q:Q,"&lt;&gt;Error")+SUMIFS('2-3-6. Travel Costs&amp;CoS&amp;EC'!W:W,'2-3-6. Travel Costs&amp;CoS&amp;EC'!C:C,B52,'2-3-6. Travel Costs&amp;CoS&amp;EC'!B:B,$I$20,'2-3-6. Travel Costs&amp;CoS&amp;EC'!X:X,"&lt;&gt;Error")+SUMIFS('4. Equipment Costs'!R:R,'4. Equipment Costs'!C:C,B52,'4. Equipment Costs'!B:B,$I$20,'4. Equipment Costs'!S:S,"&lt;&gt;Error")+SUMIFS('5. Subcontracting Costs'!R:R,'5. Subcontracting Costs'!C:C,B52,'5. Subcontracting Costs'!B:B,$I$20,'5. Subcontracting Costs'!S:S,"&lt;&gt;Error")</f>
        <v>0</v>
      </c>
      <c r="J52" s="343"/>
      <c r="K52" s="344"/>
      <c r="L52" s="342">
        <f>SUMIFS('1. Staff Costs'!P:P,'1. Staff Costs'!C:C,B52,'1. Staff Costs'!B:B,$L$20,'1. Staff Costs'!Q:Q,"&lt;&gt;Error")+SUMIFS('2-3-6. Travel Costs&amp;CoS&amp;EC'!W:W,'2-3-6. Travel Costs&amp;CoS&amp;EC'!C:C,B52,'2-3-6. Travel Costs&amp;CoS&amp;EC'!B:B,$L$20,'2-3-6. Travel Costs&amp;CoS&amp;EC'!X:X,"&lt;&gt;Error")+SUMIFS('4. Equipment Costs'!R:R,'4. Equipment Costs'!C:C,B52,'4. Equipment Costs'!B:B,$L$20,'4. Equipment Costs'!S:S,"&lt;&gt;Error")+SUMIFS('5. Subcontracting Costs'!R:R,'5. Subcontracting Costs'!C:C,B52,'5. Subcontracting Costs'!B:B,$L$20,'5. Subcontracting Costs'!S:S,"&lt;&gt;Error")</f>
        <v>0</v>
      </c>
      <c r="M52" s="343"/>
      <c r="N52" s="344"/>
      <c r="O52" s="342">
        <f>SUMIFS('1. Staff Costs'!P:P,'1. Staff Costs'!C:C,B52,'1. Staff Costs'!B:B,$O$20,'1. Staff Costs'!Q:Q,"&lt;&gt;Error")+SUMIFS('2-3-6. Travel Costs&amp;CoS&amp;EC'!W:W,'2-3-6. Travel Costs&amp;CoS&amp;EC'!C:C,B52,'2-3-6. Travel Costs&amp;CoS&amp;EC'!B:B,$O$20,'2-3-6. Travel Costs&amp;CoS&amp;EC'!X:X,"&lt;&gt;Error")+SUMIFS('4. Equipment Costs'!R:R,'4. Equipment Costs'!C:C,B52,'4. Equipment Costs'!B:B,$O$20,'4. Equipment Costs'!S:S,"&lt;&gt;Error")+SUMIFS('5. Subcontracting Costs'!R:R,'5. Subcontracting Costs'!C:C,B52,'5. Subcontracting Costs'!B:B,$O$20,'5. Subcontracting Costs'!S:S,"&lt;&gt;Error")</f>
        <v>0</v>
      </c>
      <c r="P52" s="343"/>
      <c r="Q52" s="344"/>
      <c r="R52" s="342">
        <f>SUMIFS('1. Staff Costs'!P:P,'1. Staff Costs'!C:C,B52,'1. Staff Costs'!B:B,$R$20,'1. Staff Costs'!Q:Q,"&lt;&gt;Error")+SUMIFS('2-3-6. Travel Costs&amp;CoS&amp;EC'!W:W,'2-3-6. Travel Costs&amp;CoS&amp;EC'!C:C,B52,'2-3-6. Travel Costs&amp;CoS&amp;EC'!B:B,$R$20,'2-3-6. Travel Costs&amp;CoS&amp;EC'!X:X,"&lt;&gt;Error")+SUMIFS('4. Equipment Costs'!R:R,'4. Equipment Costs'!C:C,B52,'4. Equipment Costs'!B:B,$R$20,'4. Equipment Costs'!S:S,"&lt;&gt;Error")+SUMIFS('5. Subcontracting Costs'!R:R,'5. Subcontracting Costs'!C:C,B52,'5. Subcontracting Costs'!B:B,$R$20,'5. Subcontracting Costs'!S:S,"&lt;&gt;Error")</f>
        <v>0</v>
      </c>
      <c r="S52" s="343"/>
      <c r="T52" s="344"/>
      <c r="U52" s="185">
        <f t="shared" si="4"/>
        <v>0</v>
      </c>
    </row>
    <row r="53" spans="2:21" x14ac:dyDescent="0.4">
      <c r="B53" s="208" t="s">
        <v>118</v>
      </c>
      <c r="C53" s="171" t="str">
        <f>IF('Final financial statement'!E55=0,"",'Final financial statement'!E55)</f>
        <v/>
      </c>
      <c r="D53" s="336" t="str">
        <f>IF('Final financial statement'!D55=0,"",'Final financial statement'!D55)</f>
        <v/>
      </c>
      <c r="E53" s="337"/>
      <c r="F53" s="342">
        <f>SUMIFS('1. Staff Costs'!P:P,'1. Staff Costs'!C:C,B53,'1. Staff Costs'!B:B,$F$20,'1. Staff Costs'!Q:Q,"&lt;&gt;Error")+SUMIFS('2-3-6. Travel Costs&amp;CoS&amp;EC'!W:W,'2-3-6. Travel Costs&amp;CoS&amp;EC'!C:C,B53,'2-3-6. Travel Costs&amp;CoS&amp;EC'!B:B,$F$20,'2-3-6. Travel Costs&amp;CoS&amp;EC'!X:X,"&lt;&gt;Error")+SUMIFS('4. Equipment Costs'!R:R,'4. Equipment Costs'!C:C,B53,'4. Equipment Costs'!B:B,$F$20,'4. Equipment Costs'!S:S,"&lt;&gt;Error")+SUMIFS('5. Subcontracting Costs'!R:R,'5. Subcontracting Costs'!C:C,B53,'5. Subcontracting Costs'!B:B,$F$20,'5. Subcontracting Costs'!S:S,"&lt;&gt;Error")</f>
        <v>0</v>
      </c>
      <c r="G53" s="343"/>
      <c r="H53" s="344"/>
      <c r="I53" s="342">
        <f>SUMIFS('1. Staff Costs'!P:P,'1. Staff Costs'!C:C,B53,'1. Staff Costs'!B:B,$I$20,'1. Staff Costs'!Q:Q,"&lt;&gt;Error")+SUMIFS('2-3-6. Travel Costs&amp;CoS&amp;EC'!W:W,'2-3-6. Travel Costs&amp;CoS&amp;EC'!C:C,B53,'2-3-6. Travel Costs&amp;CoS&amp;EC'!B:B,$I$20,'2-3-6. Travel Costs&amp;CoS&amp;EC'!X:X,"&lt;&gt;Error")+SUMIFS('4. Equipment Costs'!R:R,'4. Equipment Costs'!C:C,B53,'4. Equipment Costs'!B:B,$I$20,'4. Equipment Costs'!S:S,"&lt;&gt;Error")+SUMIFS('5. Subcontracting Costs'!R:R,'5. Subcontracting Costs'!C:C,B53,'5. Subcontracting Costs'!B:B,$I$20,'5. Subcontracting Costs'!S:S,"&lt;&gt;Error")</f>
        <v>0</v>
      </c>
      <c r="J53" s="343"/>
      <c r="K53" s="344"/>
      <c r="L53" s="342">
        <f>SUMIFS('1. Staff Costs'!P:P,'1. Staff Costs'!C:C,B53,'1. Staff Costs'!B:B,$L$20,'1. Staff Costs'!Q:Q,"&lt;&gt;Error")+SUMIFS('2-3-6. Travel Costs&amp;CoS&amp;EC'!W:W,'2-3-6. Travel Costs&amp;CoS&amp;EC'!C:C,B53,'2-3-6. Travel Costs&amp;CoS&amp;EC'!B:B,$L$20,'2-3-6. Travel Costs&amp;CoS&amp;EC'!X:X,"&lt;&gt;Error")+SUMIFS('4. Equipment Costs'!R:R,'4. Equipment Costs'!C:C,B53,'4. Equipment Costs'!B:B,$L$20,'4. Equipment Costs'!S:S,"&lt;&gt;Error")+SUMIFS('5. Subcontracting Costs'!R:R,'5. Subcontracting Costs'!C:C,B53,'5. Subcontracting Costs'!B:B,$L$20,'5. Subcontracting Costs'!S:S,"&lt;&gt;Error")</f>
        <v>0</v>
      </c>
      <c r="M53" s="343"/>
      <c r="N53" s="344"/>
      <c r="O53" s="342">
        <f>SUMIFS('1. Staff Costs'!P:P,'1. Staff Costs'!C:C,B53,'1. Staff Costs'!B:B,$O$20,'1. Staff Costs'!Q:Q,"&lt;&gt;Error")+SUMIFS('2-3-6. Travel Costs&amp;CoS&amp;EC'!W:W,'2-3-6. Travel Costs&amp;CoS&amp;EC'!C:C,B53,'2-3-6. Travel Costs&amp;CoS&amp;EC'!B:B,$O$20,'2-3-6. Travel Costs&amp;CoS&amp;EC'!X:X,"&lt;&gt;Error")+SUMIFS('4. Equipment Costs'!R:R,'4. Equipment Costs'!C:C,B53,'4. Equipment Costs'!B:B,$O$20,'4. Equipment Costs'!S:S,"&lt;&gt;Error")+SUMIFS('5. Subcontracting Costs'!R:R,'5. Subcontracting Costs'!C:C,B53,'5. Subcontracting Costs'!B:B,$O$20,'5. Subcontracting Costs'!S:S,"&lt;&gt;Error")</f>
        <v>0</v>
      </c>
      <c r="P53" s="343"/>
      <c r="Q53" s="344"/>
      <c r="R53" s="342">
        <f>SUMIFS('1. Staff Costs'!P:P,'1. Staff Costs'!C:C,B53,'1. Staff Costs'!B:B,$R$20,'1. Staff Costs'!Q:Q,"&lt;&gt;Error")+SUMIFS('2-3-6. Travel Costs&amp;CoS&amp;EC'!W:W,'2-3-6. Travel Costs&amp;CoS&amp;EC'!C:C,B53,'2-3-6. Travel Costs&amp;CoS&amp;EC'!B:B,$R$20,'2-3-6. Travel Costs&amp;CoS&amp;EC'!X:X,"&lt;&gt;Error")+SUMIFS('4. Equipment Costs'!R:R,'4. Equipment Costs'!C:C,B53,'4. Equipment Costs'!B:B,$R$20,'4. Equipment Costs'!S:S,"&lt;&gt;Error")+SUMIFS('5. Subcontracting Costs'!R:R,'5. Subcontracting Costs'!C:C,B53,'5. Subcontracting Costs'!B:B,$R$20,'5. Subcontracting Costs'!S:S,"&lt;&gt;Error")</f>
        <v>0</v>
      </c>
      <c r="S53" s="343"/>
      <c r="T53" s="344"/>
      <c r="U53" s="185">
        <f t="shared" si="4"/>
        <v>0</v>
      </c>
    </row>
    <row r="54" spans="2:21" x14ac:dyDescent="0.4">
      <c r="B54" s="208" t="s">
        <v>119</v>
      </c>
      <c r="C54" s="171" t="str">
        <f>IF('Final financial statement'!E56=0,"",'Final financial statement'!E56)</f>
        <v/>
      </c>
      <c r="D54" s="336" t="str">
        <f>IF('Final financial statement'!D56=0,"",'Final financial statement'!D56)</f>
        <v/>
      </c>
      <c r="E54" s="337"/>
      <c r="F54" s="342">
        <f>SUMIFS('1. Staff Costs'!P:P,'1. Staff Costs'!C:C,B54,'1. Staff Costs'!B:B,$F$20,'1. Staff Costs'!Q:Q,"&lt;&gt;Error")+SUMIFS('2-3-6. Travel Costs&amp;CoS&amp;EC'!W:W,'2-3-6. Travel Costs&amp;CoS&amp;EC'!C:C,B54,'2-3-6. Travel Costs&amp;CoS&amp;EC'!B:B,$F$20,'2-3-6. Travel Costs&amp;CoS&amp;EC'!X:X,"&lt;&gt;Error")+SUMIFS('4. Equipment Costs'!R:R,'4. Equipment Costs'!C:C,B54,'4. Equipment Costs'!B:B,$F$20,'4. Equipment Costs'!S:S,"&lt;&gt;Error")+SUMIFS('5. Subcontracting Costs'!R:R,'5. Subcontracting Costs'!C:C,B54,'5. Subcontracting Costs'!B:B,$F$20,'5. Subcontracting Costs'!S:S,"&lt;&gt;Error")</f>
        <v>0</v>
      </c>
      <c r="G54" s="343"/>
      <c r="H54" s="344"/>
      <c r="I54" s="342">
        <f>SUMIFS('1. Staff Costs'!P:P,'1. Staff Costs'!C:C,B54,'1. Staff Costs'!B:B,$I$20,'1. Staff Costs'!Q:Q,"&lt;&gt;Error")+SUMIFS('2-3-6. Travel Costs&amp;CoS&amp;EC'!W:W,'2-3-6. Travel Costs&amp;CoS&amp;EC'!C:C,B54,'2-3-6. Travel Costs&amp;CoS&amp;EC'!B:B,$I$20,'2-3-6. Travel Costs&amp;CoS&amp;EC'!X:X,"&lt;&gt;Error")+SUMIFS('4. Equipment Costs'!R:R,'4. Equipment Costs'!C:C,B54,'4. Equipment Costs'!B:B,$I$20,'4. Equipment Costs'!S:S,"&lt;&gt;Error")+SUMIFS('5. Subcontracting Costs'!R:R,'5. Subcontracting Costs'!C:C,B54,'5. Subcontracting Costs'!B:B,$I$20,'5. Subcontracting Costs'!S:S,"&lt;&gt;Error")</f>
        <v>0</v>
      </c>
      <c r="J54" s="343"/>
      <c r="K54" s="344"/>
      <c r="L54" s="342">
        <f>SUMIFS('1. Staff Costs'!P:P,'1. Staff Costs'!C:C,B54,'1. Staff Costs'!B:B,$L$20,'1. Staff Costs'!Q:Q,"&lt;&gt;Error")+SUMIFS('2-3-6. Travel Costs&amp;CoS&amp;EC'!W:W,'2-3-6. Travel Costs&amp;CoS&amp;EC'!C:C,B54,'2-3-6. Travel Costs&amp;CoS&amp;EC'!B:B,$L$20,'2-3-6. Travel Costs&amp;CoS&amp;EC'!X:X,"&lt;&gt;Error")+SUMIFS('4. Equipment Costs'!R:R,'4. Equipment Costs'!C:C,B54,'4. Equipment Costs'!B:B,$L$20,'4. Equipment Costs'!S:S,"&lt;&gt;Error")+SUMIFS('5. Subcontracting Costs'!R:R,'5. Subcontracting Costs'!C:C,B54,'5. Subcontracting Costs'!B:B,$L$20,'5. Subcontracting Costs'!S:S,"&lt;&gt;Error")</f>
        <v>0</v>
      </c>
      <c r="M54" s="343"/>
      <c r="N54" s="344"/>
      <c r="O54" s="342">
        <f>SUMIFS('1. Staff Costs'!P:P,'1. Staff Costs'!C:C,B54,'1. Staff Costs'!B:B,$O$20,'1. Staff Costs'!Q:Q,"&lt;&gt;Error")+SUMIFS('2-3-6. Travel Costs&amp;CoS&amp;EC'!W:W,'2-3-6. Travel Costs&amp;CoS&amp;EC'!C:C,B54,'2-3-6. Travel Costs&amp;CoS&amp;EC'!B:B,$O$20,'2-3-6. Travel Costs&amp;CoS&amp;EC'!X:X,"&lt;&gt;Error")+SUMIFS('4. Equipment Costs'!R:R,'4. Equipment Costs'!C:C,B54,'4. Equipment Costs'!B:B,$O$20,'4. Equipment Costs'!S:S,"&lt;&gt;Error")+SUMIFS('5. Subcontracting Costs'!R:R,'5. Subcontracting Costs'!C:C,B54,'5. Subcontracting Costs'!B:B,$O$20,'5. Subcontracting Costs'!S:S,"&lt;&gt;Error")</f>
        <v>0</v>
      </c>
      <c r="P54" s="343"/>
      <c r="Q54" s="344"/>
      <c r="R54" s="342">
        <f>SUMIFS('1. Staff Costs'!P:P,'1. Staff Costs'!C:C,B54,'1. Staff Costs'!B:B,$R$20,'1. Staff Costs'!Q:Q,"&lt;&gt;Error")+SUMIFS('2-3-6. Travel Costs&amp;CoS&amp;EC'!W:W,'2-3-6. Travel Costs&amp;CoS&amp;EC'!C:C,B54,'2-3-6. Travel Costs&amp;CoS&amp;EC'!B:B,$R$20,'2-3-6. Travel Costs&amp;CoS&amp;EC'!X:X,"&lt;&gt;Error")+SUMIFS('4. Equipment Costs'!R:R,'4. Equipment Costs'!C:C,B54,'4. Equipment Costs'!B:B,$R$20,'4. Equipment Costs'!S:S,"&lt;&gt;Error")+SUMIFS('5. Subcontracting Costs'!R:R,'5. Subcontracting Costs'!C:C,B54,'5. Subcontracting Costs'!B:B,$R$20,'5. Subcontracting Costs'!S:S,"&lt;&gt;Error")</f>
        <v>0</v>
      </c>
      <c r="S54" s="343"/>
      <c r="T54" s="344"/>
      <c r="U54" s="185">
        <f t="shared" si="4"/>
        <v>0</v>
      </c>
    </row>
    <row r="55" spans="2:21" x14ac:dyDescent="0.4">
      <c r="B55" s="208" t="s">
        <v>120</v>
      </c>
      <c r="C55" s="171" t="str">
        <f>IF('Final financial statement'!E57=0,"",'Final financial statement'!E57)</f>
        <v/>
      </c>
      <c r="D55" s="336" t="str">
        <f>IF('Final financial statement'!D57=0,"",'Final financial statement'!D57)</f>
        <v/>
      </c>
      <c r="E55" s="337"/>
      <c r="F55" s="342">
        <f>SUMIFS('1. Staff Costs'!P:P,'1. Staff Costs'!C:C,B55,'1. Staff Costs'!B:B,$F$20,'1. Staff Costs'!Q:Q,"&lt;&gt;Error")+SUMIFS('2-3-6. Travel Costs&amp;CoS&amp;EC'!W:W,'2-3-6. Travel Costs&amp;CoS&amp;EC'!C:C,B55,'2-3-6. Travel Costs&amp;CoS&amp;EC'!B:B,$F$20,'2-3-6. Travel Costs&amp;CoS&amp;EC'!X:X,"&lt;&gt;Error")+SUMIFS('4. Equipment Costs'!R:R,'4. Equipment Costs'!C:C,B55,'4. Equipment Costs'!B:B,$F$20,'4. Equipment Costs'!S:S,"&lt;&gt;Error")+SUMIFS('5. Subcontracting Costs'!R:R,'5. Subcontracting Costs'!C:C,B55,'5. Subcontracting Costs'!B:B,$F$20,'5. Subcontracting Costs'!S:S,"&lt;&gt;Error")</f>
        <v>0</v>
      </c>
      <c r="G55" s="343"/>
      <c r="H55" s="344"/>
      <c r="I55" s="342">
        <f>SUMIFS('1. Staff Costs'!P:P,'1. Staff Costs'!C:C,B55,'1. Staff Costs'!B:B,$I$20,'1. Staff Costs'!Q:Q,"&lt;&gt;Error")+SUMIFS('2-3-6. Travel Costs&amp;CoS&amp;EC'!W:W,'2-3-6. Travel Costs&amp;CoS&amp;EC'!C:C,B55,'2-3-6. Travel Costs&amp;CoS&amp;EC'!B:B,$I$20,'2-3-6. Travel Costs&amp;CoS&amp;EC'!X:X,"&lt;&gt;Error")+SUMIFS('4. Equipment Costs'!R:R,'4. Equipment Costs'!C:C,B55,'4. Equipment Costs'!B:B,$I$20,'4. Equipment Costs'!S:S,"&lt;&gt;Error")+SUMIFS('5. Subcontracting Costs'!R:R,'5. Subcontracting Costs'!C:C,B55,'5. Subcontracting Costs'!B:B,$I$20,'5. Subcontracting Costs'!S:S,"&lt;&gt;Error")</f>
        <v>0</v>
      </c>
      <c r="J55" s="343"/>
      <c r="K55" s="344"/>
      <c r="L55" s="342">
        <f>SUMIFS('1. Staff Costs'!P:P,'1. Staff Costs'!C:C,B55,'1. Staff Costs'!B:B,$L$20,'1. Staff Costs'!Q:Q,"&lt;&gt;Error")+SUMIFS('2-3-6. Travel Costs&amp;CoS&amp;EC'!W:W,'2-3-6. Travel Costs&amp;CoS&amp;EC'!C:C,B55,'2-3-6. Travel Costs&amp;CoS&amp;EC'!B:B,$L$20,'2-3-6. Travel Costs&amp;CoS&amp;EC'!X:X,"&lt;&gt;Error")+SUMIFS('4. Equipment Costs'!R:R,'4. Equipment Costs'!C:C,B55,'4. Equipment Costs'!B:B,$L$20,'4. Equipment Costs'!S:S,"&lt;&gt;Error")+SUMIFS('5. Subcontracting Costs'!R:R,'5. Subcontracting Costs'!C:C,B55,'5. Subcontracting Costs'!B:B,$L$20,'5. Subcontracting Costs'!S:S,"&lt;&gt;Error")</f>
        <v>0</v>
      </c>
      <c r="M55" s="343"/>
      <c r="N55" s="344"/>
      <c r="O55" s="342">
        <f>SUMIFS('1. Staff Costs'!P:P,'1. Staff Costs'!C:C,B55,'1. Staff Costs'!B:B,$O$20,'1. Staff Costs'!Q:Q,"&lt;&gt;Error")+SUMIFS('2-3-6. Travel Costs&amp;CoS&amp;EC'!W:W,'2-3-6. Travel Costs&amp;CoS&amp;EC'!C:C,B55,'2-3-6. Travel Costs&amp;CoS&amp;EC'!B:B,$O$20,'2-3-6. Travel Costs&amp;CoS&amp;EC'!X:X,"&lt;&gt;Error")+SUMIFS('4. Equipment Costs'!R:R,'4. Equipment Costs'!C:C,B55,'4. Equipment Costs'!B:B,$O$20,'4. Equipment Costs'!S:S,"&lt;&gt;Error")+SUMIFS('5. Subcontracting Costs'!R:R,'5. Subcontracting Costs'!C:C,B55,'5. Subcontracting Costs'!B:B,$O$20,'5. Subcontracting Costs'!S:S,"&lt;&gt;Error")</f>
        <v>0</v>
      </c>
      <c r="P55" s="343"/>
      <c r="Q55" s="344"/>
      <c r="R55" s="342">
        <f>SUMIFS('1. Staff Costs'!P:P,'1. Staff Costs'!C:C,B55,'1. Staff Costs'!B:B,$R$20,'1. Staff Costs'!Q:Q,"&lt;&gt;Error")+SUMIFS('2-3-6. Travel Costs&amp;CoS&amp;EC'!W:W,'2-3-6. Travel Costs&amp;CoS&amp;EC'!C:C,B55,'2-3-6. Travel Costs&amp;CoS&amp;EC'!B:B,$R$20,'2-3-6. Travel Costs&amp;CoS&amp;EC'!X:X,"&lt;&gt;Error")+SUMIFS('4. Equipment Costs'!R:R,'4. Equipment Costs'!C:C,B55,'4. Equipment Costs'!B:B,$R$20,'4. Equipment Costs'!S:S,"&lt;&gt;Error")+SUMIFS('5. Subcontracting Costs'!R:R,'5. Subcontracting Costs'!C:C,B55,'5. Subcontracting Costs'!B:B,$R$20,'5. Subcontracting Costs'!S:S,"&lt;&gt;Error")</f>
        <v>0</v>
      </c>
      <c r="S55" s="343"/>
      <c r="T55" s="344"/>
      <c r="U55" s="185">
        <f t="shared" si="4"/>
        <v>0</v>
      </c>
    </row>
    <row r="56" spans="2:21" x14ac:dyDescent="0.4">
      <c r="B56" s="208" t="s">
        <v>121</v>
      </c>
      <c r="C56" s="171" t="str">
        <f>IF('Final financial statement'!E58=0,"",'Final financial statement'!E58)</f>
        <v/>
      </c>
      <c r="D56" s="336" t="str">
        <f>IF('Final financial statement'!D58=0,"",'Final financial statement'!D58)</f>
        <v/>
      </c>
      <c r="E56" s="337"/>
      <c r="F56" s="342">
        <f>SUMIFS('1. Staff Costs'!P:P,'1. Staff Costs'!C:C,B56,'1. Staff Costs'!B:B,$F$20,'1. Staff Costs'!Q:Q,"&lt;&gt;Error")+SUMIFS('2-3-6. Travel Costs&amp;CoS&amp;EC'!W:W,'2-3-6. Travel Costs&amp;CoS&amp;EC'!C:C,B56,'2-3-6. Travel Costs&amp;CoS&amp;EC'!B:B,$F$20,'2-3-6. Travel Costs&amp;CoS&amp;EC'!X:X,"&lt;&gt;Error")+SUMIFS('4. Equipment Costs'!R:R,'4. Equipment Costs'!C:C,B56,'4. Equipment Costs'!B:B,$F$20,'4. Equipment Costs'!S:S,"&lt;&gt;Error")+SUMIFS('5. Subcontracting Costs'!R:R,'5. Subcontracting Costs'!C:C,B56,'5. Subcontracting Costs'!B:B,$F$20,'5. Subcontracting Costs'!S:S,"&lt;&gt;Error")</f>
        <v>0</v>
      </c>
      <c r="G56" s="343"/>
      <c r="H56" s="344"/>
      <c r="I56" s="342">
        <f>SUMIFS('1. Staff Costs'!P:P,'1. Staff Costs'!C:C,B56,'1. Staff Costs'!B:B,$I$20,'1. Staff Costs'!Q:Q,"&lt;&gt;Error")+SUMIFS('2-3-6. Travel Costs&amp;CoS&amp;EC'!W:W,'2-3-6. Travel Costs&amp;CoS&amp;EC'!C:C,B56,'2-3-6. Travel Costs&amp;CoS&amp;EC'!B:B,$I$20,'2-3-6. Travel Costs&amp;CoS&amp;EC'!X:X,"&lt;&gt;Error")+SUMIFS('4. Equipment Costs'!R:R,'4. Equipment Costs'!C:C,B56,'4. Equipment Costs'!B:B,$I$20,'4. Equipment Costs'!S:S,"&lt;&gt;Error")+SUMIFS('5. Subcontracting Costs'!R:R,'5. Subcontracting Costs'!C:C,B56,'5. Subcontracting Costs'!B:B,$I$20,'5. Subcontracting Costs'!S:S,"&lt;&gt;Error")</f>
        <v>0</v>
      </c>
      <c r="J56" s="343"/>
      <c r="K56" s="344"/>
      <c r="L56" s="342">
        <f>SUMIFS('1. Staff Costs'!P:P,'1. Staff Costs'!C:C,B56,'1. Staff Costs'!B:B,$L$20,'1. Staff Costs'!Q:Q,"&lt;&gt;Error")+SUMIFS('2-3-6. Travel Costs&amp;CoS&amp;EC'!W:W,'2-3-6. Travel Costs&amp;CoS&amp;EC'!C:C,B56,'2-3-6. Travel Costs&amp;CoS&amp;EC'!B:B,$L$20,'2-3-6. Travel Costs&amp;CoS&amp;EC'!X:X,"&lt;&gt;Error")+SUMIFS('4. Equipment Costs'!R:R,'4. Equipment Costs'!C:C,B56,'4. Equipment Costs'!B:B,$L$20,'4. Equipment Costs'!S:S,"&lt;&gt;Error")+SUMIFS('5. Subcontracting Costs'!R:R,'5. Subcontracting Costs'!C:C,B56,'5. Subcontracting Costs'!B:B,$L$20,'5. Subcontracting Costs'!S:S,"&lt;&gt;Error")</f>
        <v>0</v>
      </c>
      <c r="M56" s="343"/>
      <c r="N56" s="344"/>
      <c r="O56" s="342">
        <f>SUMIFS('1. Staff Costs'!P:P,'1. Staff Costs'!C:C,B56,'1. Staff Costs'!B:B,$O$20,'1. Staff Costs'!Q:Q,"&lt;&gt;Error")+SUMIFS('2-3-6. Travel Costs&amp;CoS&amp;EC'!W:W,'2-3-6. Travel Costs&amp;CoS&amp;EC'!C:C,B56,'2-3-6. Travel Costs&amp;CoS&amp;EC'!B:B,$O$20,'2-3-6. Travel Costs&amp;CoS&amp;EC'!X:X,"&lt;&gt;Error")+SUMIFS('4. Equipment Costs'!R:R,'4. Equipment Costs'!C:C,B56,'4. Equipment Costs'!B:B,$O$20,'4. Equipment Costs'!S:S,"&lt;&gt;Error")+SUMIFS('5. Subcontracting Costs'!R:R,'5. Subcontracting Costs'!C:C,B56,'5. Subcontracting Costs'!B:B,$O$20,'5. Subcontracting Costs'!S:S,"&lt;&gt;Error")</f>
        <v>0</v>
      </c>
      <c r="P56" s="343"/>
      <c r="Q56" s="344"/>
      <c r="R56" s="342">
        <f>SUMIFS('1. Staff Costs'!P:P,'1. Staff Costs'!C:C,B56,'1. Staff Costs'!B:B,$R$20,'1. Staff Costs'!Q:Q,"&lt;&gt;Error")+SUMIFS('2-3-6. Travel Costs&amp;CoS&amp;EC'!W:W,'2-3-6. Travel Costs&amp;CoS&amp;EC'!C:C,B56,'2-3-6. Travel Costs&amp;CoS&amp;EC'!B:B,$R$20,'2-3-6. Travel Costs&amp;CoS&amp;EC'!X:X,"&lt;&gt;Error")+SUMIFS('4. Equipment Costs'!R:R,'4. Equipment Costs'!C:C,B56,'4. Equipment Costs'!B:B,$R$20,'4. Equipment Costs'!S:S,"&lt;&gt;Error")+SUMIFS('5. Subcontracting Costs'!R:R,'5. Subcontracting Costs'!C:C,B56,'5. Subcontracting Costs'!B:B,$R$20,'5. Subcontracting Costs'!S:S,"&lt;&gt;Error")</f>
        <v>0</v>
      </c>
      <c r="S56" s="343"/>
      <c r="T56" s="344"/>
      <c r="U56" s="185">
        <f t="shared" si="4"/>
        <v>0</v>
      </c>
    </row>
    <row r="57" spans="2:21" x14ac:dyDescent="0.4">
      <c r="B57" s="208" t="s">
        <v>122</v>
      </c>
      <c r="C57" s="171" t="str">
        <f>IF('Final financial statement'!E59=0,"",'Final financial statement'!E59)</f>
        <v/>
      </c>
      <c r="D57" s="336" t="str">
        <f>IF('Final financial statement'!D59=0,"",'Final financial statement'!D59)</f>
        <v/>
      </c>
      <c r="E57" s="337"/>
      <c r="F57" s="342">
        <f>SUMIFS('1. Staff Costs'!P:P,'1. Staff Costs'!C:C,B57,'1. Staff Costs'!B:B,$F$20,'1. Staff Costs'!Q:Q,"&lt;&gt;Error")+SUMIFS('2-3-6. Travel Costs&amp;CoS&amp;EC'!W:W,'2-3-6. Travel Costs&amp;CoS&amp;EC'!C:C,B57,'2-3-6. Travel Costs&amp;CoS&amp;EC'!B:B,$F$20,'2-3-6. Travel Costs&amp;CoS&amp;EC'!X:X,"&lt;&gt;Error")+SUMIFS('4. Equipment Costs'!R:R,'4. Equipment Costs'!C:C,B57,'4. Equipment Costs'!B:B,$F$20,'4. Equipment Costs'!S:S,"&lt;&gt;Error")+SUMIFS('5. Subcontracting Costs'!R:R,'5. Subcontracting Costs'!C:C,B57,'5. Subcontracting Costs'!B:B,$F$20,'5. Subcontracting Costs'!S:S,"&lt;&gt;Error")</f>
        <v>0</v>
      </c>
      <c r="G57" s="343"/>
      <c r="H57" s="344"/>
      <c r="I57" s="342">
        <f>SUMIFS('1. Staff Costs'!P:P,'1. Staff Costs'!C:C,B57,'1. Staff Costs'!B:B,$I$20,'1. Staff Costs'!Q:Q,"&lt;&gt;Error")+SUMIFS('2-3-6. Travel Costs&amp;CoS&amp;EC'!W:W,'2-3-6. Travel Costs&amp;CoS&amp;EC'!C:C,B57,'2-3-6. Travel Costs&amp;CoS&amp;EC'!B:B,$I$20,'2-3-6. Travel Costs&amp;CoS&amp;EC'!X:X,"&lt;&gt;Error")+SUMIFS('4. Equipment Costs'!R:R,'4. Equipment Costs'!C:C,B57,'4. Equipment Costs'!B:B,$I$20,'4. Equipment Costs'!S:S,"&lt;&gt;Error")+SUMIFS('5. Subcontracting Costs'!R:R,'5. Subcontracting Costs'!C:C,B57,'5. Subcontracting Costs'!B:B,$I$20,'5. Subcontracting Costs'!S:S,"&lt;&gt;Error")</f>
        <v>0</v>
      </c>
      <c r="J57" s="343"/>
      <c r="K57" s="344"/>
      <c r="L57" s="342">
        <f>SUMIFS('1. Staff Costs'!P:P,'1. Staff Costs'!C:C,B57,'1. Staff Costs'!B:B,$L$20,'1. Staff Costs'!Q:Q,"&lt;&gt;Error")+SUMIFS('2-3-6. Travel Costs&amp;CoS&amp;EC'!W:W,'2-3-6. Travel Costs&amp;CoS&amp;EC'!C:C,B57,'2-3-6. Travel Costs&amp;CoS&amp;EC'!B:B,$L$20,'2-3-6. Travel Costs&amp;CoS&amp;EC'!X:X,"&lt;&gt;Error")+SUMIFS('4. Equipment Costs'!R:R,'4. Equipment Costs'!C:C,B57,'4. Equipment Costs'!B:B,$L$20,'4. Equipment Costs'!S:S,"&lt;&gt;Error")+SUMIFS('5. Subcontracting Costs'!R:R,'5. Subcontracting Costs'!C:C,B57,'5. Subcontracting Costs'!B:B,$L$20,'5. Subcontracting Costs'!S:S,"&lt;&gt;Error")</f>
        <v>0</v>
      </c>
      <c r="M57" s="343"/>
      <c r="N57" s="344"/>
      <c r="O57" s="342">
        <f>SUMIFS('1. Staff Costs'!P:P,'1. Staff Costs'!C:C,B57,'1. Staff Costs'!B:B,$O$20,'1. Staff Costs'!Q:Q,"&lt;&gt;Error")+SUMIFS('2-3-6. Travel Costs&amp;CoS&amp;EC'!W:W,'2-3-6. Travel Costs&amp;CoS&amp;EC'!C:C,B57,'2-3-6. Travel Costs&amp;CoS&amp;EC'!B:B,$O$20,'2-3-6. Travel Costs&amp;CoS&amp;EC'!X:X,"&lt;&gt;Error")+SUMIFS('4. Equipment Costs'!R:R,'4. Equipment Costs'!C:C,B57,'4. Equipment Costs'!B:B,$O$20,'4. Equipment Costs'!S:S,"&lt;&gt;Error")+SUMIFS('5. Subcontracting Costs'!R:R,'5. Subcontracting Costs'!C:C,B57,'5. Subcontracting Costs'!B:B,$O$20,'5. Subcontracting Costs'!S:S,"&lt;&gt;Error")</f>
        <v>0</v>
      </c>
      <c r="P57" s="343"/>
      <c r="Q57" s="344"/>
      <c r="R57" s="342">
        <f>SUMIFS('1. Staff Costs'!P:P,'1. Staff Costs'!C:C,B57,'1. Staff Costs'!B:B,$R$20,'1. Staff Costs'!Q:Q,"&lt;&gt;Error")+SUMIFS('2-3-6. Travel Costs&amp;CoS&amp;EC'!W:W,'2-3-6. Travel Costs&amp;CoS&amp;EC'!C:C,B57,'2-3-6. Travel Costs&amp;CoS&amp;EC'!B:B,$R$20,'2-3-6. Travel Costs&amp;CoS&amp;EC'!X:X,"&lt;&gt;Error")+SUMIFS('4. Equipment Costs'!R:R,'4. Equipment Costs'!C:C,B57,'4. Equipment Costs'!B:B,$R$20,'4. Equipment Costs'!S:S,"&lt;&gt;Error")+SUMIFS('5. Subcontracting Costs'!R:R,'5. Subcontracting Costs'!C:C,B57,'5. Subcontracting Costs'!B:B,$R$20,'5. Subcontracting Costs'!S:S,"&lt;&gt;Error")</f>
        <v>0</v>
      </c>
      <c r="S57" s="343"/>
      <c r="T57" s="344"/>
      <c r="U57" s="185">
        <f t="shared" si="4"/>
        <v>0</v>
      </c>
    </row>
    <row r="58" spans="2:21" x14ac:dyDescent="0.4">
      <c r="B58" s="208" t="s">
        <v>123</v>
      </c>
      <c r="C58" s="171" t="str">
        <f>IF('Final financial statement'!E60=0,"",'Final financial statement'!E60)</f>
        <v/>
      </c>
      <c r="D58" s="336" t="str">
        <f>IF('Final financial statement'!D60=0,"",'Final financial statement'!D60)</f>
        <v/>
      </c>
      <c r="E58" s="337"/>
      <c r="F58" s="342">
        <f>SUMIFS('1. Staff Costs'!P:P,'1. Staff Costs'!C:C,B58,'1. Staff Costs'!B:B,$F$20,'1. Staff Costs'!Q:Q,"&lt;&gt;Error")+SUMIFS('2-3-6. Travel Costs&amp;CoS&amp;EC'!W:W,'2-3-6. Travel Costs&amp;CoS&amp;EC'!C:C,B58,'2-3-6. Travel Costs&amp;CoS&amp;EC'!B:B,$F$20,'2-3-6. Travel Costs&amp;CoS&amp;EC'!X:X,"&lt;&gt;Error")+SUMIFS('4. Equipment Costs'!R:R,'4. Equipment Costs'!C:C,B58,'4. Equipment Costs'!B:B,$F$20,'4. Equipment Costs'!S:S,"&lt;&gt;Error")+SUMIFS('5. Subcontracting Costs'!R:R,'5. Subcontracting Costs'!C:C,B58,'5. Subcontracting Costs'!B:B,$F$20,'5. Subcontracting Costs'!S:S,"&lt;&gt;Error")</f>
        <v>0</v>
      </c>
      <c r="G58" s="343"/>
      <c r="H58" s="344"/>
      <c r="I58" s="342">
        <f>SUMIFS('1. Staff Costs'!P:P,'1. Staff Costs'!C:C,B58,'1. Staff Costs'!B:B,$I$20,'1. Staff Costs'!Q:Q,"&lt;&gt;Error")+SUMIFS('2-3-6. Travel Costs&amp;CoS&amp;EC'!W:W,'2-3-6. Travel Costs&amp;CoS&amp;EC'!C:C,B58,'2-3-6. Travel Costs&amp;CoS&amp;EC'!B:B,$I$20,'2-3-6. Travel Costs&amp;CoS&amp;EC'!X:X,"&lt;&gt;Error")+SUMIFS('4. Equipment Costs'!R:R,'4. Equipment Costs'!C:C,B58,'4. Equipment Costs'!B:B,$I$20,'4. Equipment Costs'!S:S,"&lt;&gt;Error")+SUMIFS('5. Subcontracting Costs'!R:R,'5. Subcontracting Costs'!C:C,B58,'5. Subcontracting Costs'!B:B,$I$20,'5. Subcontracting Costs'!S:S,"&lt;&gt;Error")</f>
        <v>0</v>
      </c>
      <c r="J58" s="343"/>
      <c r="K58" s="344"/>
      <c r="L58" s="342">
        <f>SUMIFS('1. Staff Costs'!P:P,'1. Staff Costs'!C:C,B58,'1. Staff Costs'!B:B,$L$20,'1. Staff Costs'!Q:Q,"&lt;&gt;Error")+SUMIFS('2-3-6. Travel Costs&amp;CoS&amp;EC'!W:W,'2-3-6. Travel Costs&amp;CoS&amp;EC'!C:C,B58,'2-3-6. Travel Costs&amp;CoS&amp;EC'!B:B,$L$20,'2-3-6. Travel Costs&amp;CoS&amp;EC'!X:X,"&lt;&gt;Error")+SUMIFS('4. Equipment Costs'!R:R,'4. Equipment Costs'!C:C,B58,'4. Equipment Costs'!B:B,$L$20,'4. Equipment Costs'!S:S,"&lt;&gt;Error")+SUMIFS('5. Subcontracting Costs'!R:R,'5. Subcontracting Costs'!C:C,B58,'5. Subcontracting Costs'!B:B,$L$20,'5. Subcontracting Costs'!S:S,"&lt;&gt;Error")</f>
        <v>0</v>
      </c>
      <c r="M58" s="343"/>
      <c r="N58" s="344"/>
      <c r="O58" s="342">
        <f>SUMIFS('1. Staff Costs'!P:P,'1. Staff Costs'!C:C,B58,'1. Staff Costs'!B:B,$O$20,'1. Staff Costs'!Q:Q,"&lt;&gt;Error")+SUMIFS('2-3-6. Travel Costs&amp;CoS&amp;EC'!W:W,'2-3-6. Travel Costs&amp;CoS&amp;EC'!C:C,B58,'2-3-6. Travel Costs&amp;CoS&amp;EC'!B:B,$O$20,'2-3-6. Travel Costs&amp;CoS&amp;EC'!X:X,"&lt;&gt;Error")+SUMIFS('4. Equipment Costs'!R:R,'4. Equipment Costs'!C:C,B58,'4. Equipment Costs'!B:B,$O$20,'4. Equipment Costs'!S:S,"&lt;&gt;Error")+SUMIFS('5. Subcontracting Costs'!R:R,'5. Subcontracting Costs'!C:C,B58,'5. Subcontracting Costs'!B:B,$O$20,'5. Subcontracting Costs'!S:S,"&lt;&gt;Error")</f>
        <v>0</v>
      </c>
      <c r="P58" s="343"/>
      <c r="Q58" s="344"/>
      <c r="R58" s="342">
        <f>SUMIFS('1. Staff Costs'!P:P,'1. Staff Costs'!C:C,B58,'1. Staff Costs'!B:B,$R$20,'1. Staff Costs'!Q:Q,"&lt;&gt;Error")+SUMIFS('2-3-6. Travel Costs&amp;CoS&amp;EC'!W:W,'2-3-6. Travel Costs&amp;CoS&amp;EC'!C:C,B58,'2-3-6. Travel Costs&amp;CoS&amp;EC'!B:B,$R$20,'2-3-6. Travel Costs&amp;CoS&amp;EC'!X:X,"&lt;&gt;Error")+SUMIFS('4. Equipment Costs'!R:R,'4. Equipment Costs'!C:C,B58,'4. Equipment Costs'!B:B,$R$20,'4. Equipment Costs'!S:S,"&lt;&gt;Error")+SUMIFS('5. Subcontracting Costs'!R:R,'5. Subcontracting Costs'!C:C,B58,'5. Subcontracting Costs'!B:B,$R$20,'5. Subcontracting Costs'!S:S,"&lt;&gt;Error")</f>
        <v>0</v>
      </c>
      <c r="S58" s="343"/>
      <c r="T58" s="344"/>
      <c r="U58" s="185">
        <f t="shared" si="4"/>
        <v>0</v>
      </c>
    </row>
    <row r="59" spans="2:21" x14ac:dyDescent="0.4">
      <c r="B59" s="208" t="s">
        <v>124</v>
      </c>
      <c r="C59" s="171" t="str">
        <f>IF('Final financial statement'!E61=0,"",'Final financial statement'!E61)</f>
        <v/>
      </c>
      <c r="D59" s="336" t="str">
        <f>IF('Final financial statement'!D61=0,"",'Final financial statement'!D61)</f>
        <v/>
      </c>
      <c r="E59" s="337"/>
      <c r="F59" s="342">
        <f>SUMIFS('1. Staff Costs'!P:P,'1. Staff Costs'!C:C,B59,'1. Staff Costs'!B:B,$F$20,'1. Staff Costs'!Q:Q,"&lt;&gt;Error")+SUMIFS('2-3-6. Travel Costs&amp;CoS&amp;EC'!W:W,'2-3-6. Travel Costs&amp;CoS&amp;EC'!C:C,B59,'2-3-6. Travel Costs&amp;CoS&amp;EC'!B:B,$F$20,'2-3-6. Travel Costs&amp;CoS&amp;EC'!X:X,"&lt;&gt;Error")+SUMIFS('4. Equipment Costs'!R:R,'4. Equipment Costs'!C:C,B59,'4. Equipment Costs'!B:B,$F$20,'4. Equipment Costs'!S:S,"&lt;&gt;Error")+SUMIFS('5. Subcontracting Costs'!R:R,'5. Subcontracting Costs'!C:C,B59,'5. Subcontracting Costs'!B:B,$F$20,'5. Subcontracting Costs'!S:S,"&lt;&gt;Error")</f>
        <v>0</v>
      </c>
      <c r="G59" s="343"/>
      <c r="H59" s="344"/>
      <c r="I59" s="342">
        <f>SUMIFS('1. Staff Costs'!P:P,'1. Staff Costs'!C:C,B59,'1. Staff Costs'!B:B,$I$20,'1. Staff Costs'!Q:Q,"&lt;&gt;Error")+SUMIFS('2-3-6. Travel Costs&amp;CoS&amp;EC'!W:W,'2-3-6. Travel Costs&amp;CoS&amp;EC'!C:C,B59,'2-3-6. Travel Costs&amp;CoS&amp;EC'!B:B,$I$20,'2-3-6. Travel Costs&amp;CoS&amp;EC'!X:X,"&lt;&gt;Error")+SUMIFS('4. Equipment Costs'!R:R,'4. Equipment Costs'!C:C,B59,'4. Equipment Costs'!B:B,$I$20,'4. Equipment Costs'!S:S,"&lt;&gt;Error")+SUMIFS('5. Subcontracting Costs'!R:R,'5. Subcontracting Costs'!C:C,B59,'5. Subcontracting Costs'!B:B,$I$20,'5. Subcontracting Costs'!S:S,"&lt;&gt;Error")</f>
        <v>0</v>
      </c>
      <c r="J59" s="343"/>
      <c r="K59" s="344"/>
      <c r="L59" s="342">
        <f>SUMIFS('1. Staff Costs'!P:P,'1. Staff Costs'!C:C,B59,'1. Staff Costs'!B:B,$L$20,'1. Staff Costs'!Q:Q,"&lt;&gt;Error")+SUMIFS('2-3-6. Travel Costs&amp;CoS&amp;EC'!W:W,'2-3-6. Travel Costs&amp;CoS&amp;EC'!C:C,B59,'2-3-6. Travel Costs&amp;CoS&amp;EC'!B:B,$L$20,'2-3-6. Travel Costs&amp;CoS&amp;EC'!X:X,"&lt;&gt;Error")+SUMIFS('4. Equipment Costs'!R:R,'4. Equipment Costs'!C:C,B59,'4. Equipment Costs'!B:B,$L$20,'4. Equipment Costs'!S:S,"&lt;&gt;Error")+SUMIFS('5. Subcontracting Costs'!R:R,'5. Subcontracting Costs'!C:C,B59,'5. Subcontracting Costs'!B:B,$L$20,'5. Subcontracting Costs'!S:S,"&lt;&gt;Error")</f>
        <v>0</v>
      </c>
      <c r="M59" s="343"/>
      <c r="N59" s="344"/>
      <c r="O59" s="342">
        <f>SUMIFS('1. Staff Costs'!P:P,'1. Staff Costs'!C:C,B59,'1. Staff Costs'!B:B,$O$20,'1. Staff Costs'!Q:Q,"&lt;&gt;Error")+SUMIFS('2-3-6. Travel Costs&amp;CoS&amp;EC'!W:W,'2-3-6. Travel Costs&amp;CoS&amp;EC'!C:C,B59,'2-3-6. Travel Costs&amp;CoS&amp;EC'!B:B,$O$20,'2-3-6. Travel Costs&amp;CoS&amp;EC'!X:X,"&lt;&gt;Error")+SUMIFS('4. Equipment Costs'!R:R,'4. Equipment Costs'!C:C,B59,'4. Equipment Costs'!B:B,$O$20,'4. Equipment Costs'!S:S,"&lt;&gt;Error")+SUMIFS('5. Subcontracting Costs'!R:R,'5. Subcontracting Costs'!C:C,B59,'5. Subcontracting Costs'!B:B,$O$20,'5. Subcontracting Costs'!S:S,"&lt;&gt;Error")</f>
        <v>0</v>
      </c>
      <c r="P59" s="343"/>
      <c r="Q59" s="344"/>
      <c r="R59" s="342">
        <f>SUMIFS('1. Staff Costs'!P:P,'1. Staff Costs'!C:C,B59,'1. Staff Costs'!B:B,$R$20,'1. Staff Costs'!Q:Q,"&lt;&gt;Error")+SUMIFS('2-3-6. Travel Costs&amp;CoS&amp;EC'!W:W,'2-3-6. Travel Costs&amp;CoS&amp;EC'!C:C,B59,'2-3-6. Travel Costs&amp;CoS&amp;EC'!B:B,$R$20,'2-3-6. Travel Costs&amp;CoS&amp;EC'!X:X,"&lt;&gt;Error")+SUMIFS('4. Equipment Costs'!R:R,'4. Equipment Costs'!C:C,B59,'4. Equipment Costs'!B:B,$R$20,'4. Equipment Costs'!S:S,"&lt;&gt;Error")+SUMIFS('5. Subcontracting Costs'!R:R,'5. Subcontracting Costs'!C:C,B59,'5. Subcontracting Costs'!B:B,$R$20,'5. Subcontracting Costs'!S:S,"&lt;&gt;Error")</f>
        <v>0</v>
      </c>
      <c r="S59" s="343"/>
      <c r="T59" s="344"/>
      <c r="U59" s="185">
        <f t="shared" si="4"/>
        <v>0</v>
      </c>
    </row>
    <row r="60" spans="2:21" x14ac:dyDescent="0.4">
      <c r="B60" s="208" t="s">
        <v>125</v>
      </c>
      <c r="C60" s="171" t="str">
        <f>IF('Final financial statement'!E62=0,"",'Final financial statement'!E62)</f>
        <v/>
      </c>
      <c r="D60" s="336" t="str">
        <f>IF('Final financial statement'!D62=0,"",'Final financial statement'!D62)</f>
        <v/>
      </c>
      <c r="E60" s="337"/>
      <c r="F60" s="342">
        <f>SUMIFS('1. Staff Costs'!P:P,'1. Staff Costs'!C:C,B60,'1. Staff Costs'!B:B,$F$20,'1. Staff Costs'!Q:Q,"&lt;&gt;Error")+SUMIFS('2-3-6. Travel Costs&amp;CoS&amp;EC'!W:W,'2-3-6. Travel Costs&amp;CoS&amp;EC'!C:C,B60,'2-3-6. Travel Costs&amp;CoS&amp;EC'!B:B,$F$20,'2-3-6. Travel Costs&amp;CoS&amp;EC'!X:X,"&lt;&gt;Error")+SUMIFS('4. Equipment Costs'!R:R,'4. Equipment Costs'!C:C,B60,'4. Equipment Costs'!B:B,$F$20,'4. Equipment Costs'!S:S,"&lt;&gt;Error")+SUMIFS('5. Subcontracting Costs'!R:R,'5. Subcontracting Costs'!C:C,B60,'5. Subcontracting Costs'!B:B,$F$20,'5. Subcontracting Costs'!S:S,"&lt;&gt;Error")</f>
        <v>0</v>
      </c>
      <c r="G60" s="343"/>
      <c r="H60" s="344"/>
      <c r="I60" s="342">
        <f>SUMIFS('1. Staff Costs'!P:P,'1. Staff Costs'!C:C,B60,'1. Staff Costs'!B:B,$I$20,'1. Staff Costs'!Q:Q,"&lt;&gt;Error")+SUMIFS('2-3-6. Travel Costs&amp;CoS&amp;EC'!W:W,'2-3-6. Travel Costs&amp;CoS&amp;EC'!C:C,B60,'2-3-6. Travel Costs&amp;CoS&amp;EC'!B:B,$I$20,'2-3-6. Travel Costs&amp;CoS&amp;EC'!X:X,"&lt;&gt;Error")+SUMIFS('4. Equipment Costs'!R:R,'4. Equipment Costs'!C:C,B60,'4. Equipment Costs'!B:B,$I$20,'4. Equipment Costs'!S:S,"&lt;&gt;Error")+SUMIFS('5. Subcontracting Costs'!R:R,'5. Subcontracting Costs'!C:C,B60,'5. Subcontracting Costs'!B:B,$I$20,'5. Subcontracting Costs'!S:S,"&lt;&gt;Error")</f>
        <v>0</v>
      </c>
      <c r="J60" s="343"/>
      <c r="K60" s="344"/>
      <c r="L60" s="342">
        <f>SUMIFS('1. Staff Costs'!P:P,'1. Staff Costs'!C:C,B60,'1. Staff Costs'!B:B,$L$20,'1. Staff Costs'!Q:Q,"&lt;&gt;Error")+SUMIFS('2-3-6. Travel Costs&amp;CoS&amp;EC'!W:W,'2-3-6. Travel Costs&amp;CoS&amp;EC'!C:C,B60,'2-3-6. Travel Costs&amp;CoS&amp;EC'!B:B,$L$20,'2-3-6. Travel Costs&amp;CoS&amp;EC'!X:X,"&lt;&gt;Error")+SUMIFS('4. Equipment Costs'!R:R,'4. Equipment Costs'!C:C,B60,'4. Equipment Costs'!B:B,$L$20,'4. Equipment Costs'!S:S,"&lt;&gt;Error")+SUMIFS('5. Subcontracting Costs'!R:R,'5. Subcontracting Costs'!C:C,B60,'5. Subcontracting Costs'!B:B,$L$20,'5. Subcontracting Costs'!S:S,"&lt;&gt;Error")</f>
        <v>0</v>
      </c>
      <c r="M60" s="343"/>
      <c r="N60" s="344"/>
      <c r="O60" s="342">
        <f>SUMIFS('1. Staff Costs'!P:P,'1. Staff Costs'!C:C,B60,'1. Staff Costs'!B:B,$O$20,'1. Staff Costs'!Q:Q,"&lt;&gt;Error")+SUMIFS('2-3-6. Travel Costs&amp;CoS&amp;EC'!W:W,'2-3-6. Travel Costs&amp;CoS&amp;EC'!C:C,B60,'2-3-6. Travel Costs&amp;CoS&amp;EC'!B:B,$O$20,'2-3-6. Travel Costs&amp;CoS&amp;EC'!X:X,"&lt;&gt;Error")+SUMIFS('4. Equipment Costs'!R:R,'4. Equipment Costs'!C:C,B60,'4. Equipment Costs'!B:B,$O$20,'4. Equipment Costs'!S:S,"&lt;&gt;Error")+SUMIFS('5. Subcontracting Costs'!R:R,'5. Subcontracting Costs'!C:C,B60,'5. Subcontracting Costs'!B:B,$O$20,'5. Subcontracting Costs'!S:S,"&lt;&gt;Error")</f>
        <v>0</v>
      </c>
      <c r="P60" s="343"/>
      <c r="Q60" s="344"/>
      <c r="R60" s="342">
        <f>SUMIFS('1. Staff Costs'!P:P,'1. Staff Costs'!C:C,B60,'1. Staff Costs'!B:B,$R$20,'1. Staff Costs'!Q:Q,"&lt;&gt;Error")+SUMIFS('2-3-6. Travel Costs&amp;CoS&amp;EC'!W:W,'2-3-6. Travel Costs&amp;CoS&amp;EC'!C:C,B60,'2-3-6. Travel Costs&amp;CoS&amp;EC'!B:B,$R$20,'2-3-6. Travel Costs&amp;CoS&amp;EC'!X:X,"&lt;&gt;Error")+SUMIFS('4. Equipment Costs'!R:R,'4. Equipment Costs'!C:C,B60,'4. Equipment Costs'!B:B,$R$20,'4. Equipment Costs'!S:S,"&lt;&gt;Error")+SUMIFS('5. Subcontracting Costs'!R:R,'5. Subcontracting Costs'!C:C,B60,'5. Subcontracting Costs'!B:B,$R$20,'5. Subcontracting Costs'!S:S,"&lt;&gt;Error")</f>
        <v>0</v>
      </c>
      <c r="S60" s="343"/>
      <c r="T60" s="344"/>
      <c r="U60" s="185">
        <f t="shared" si="4"/>
        <v>0</v>
      </c>
    </row>
    <row r="61" spans="2:21" x14ac:dyDescent="0.4">
      <c r="B61" s="208" t="s">
        <v>132</v>
      </c>
      <c r="C61" s="171" t="str">
        <f>IF('Final financial statement'!E63=0,"",'Final financial statement'!E63)</f>
        <v/>
      </c>
      <c r="D61" s="336" t="str">
        <f>IF('Final financial statement'!D63=0,"",'Final financial statement'!D63)</f>
        <v/>
      </c>
      <c r="E61" s="337"/>
      <c r="F61" s="342">
        <f>SUMIFS('1. Staff Costs'!P:P,'1. Staff Costs'!C:C,B61,'1. Staff Costs'!B:B,$F$20,'1. Staff Costs'!Q:Q,"&lt;&gt;Error")+SUMIFS('2-3-6. Travel Costs&amp;CoS&amp;EC'!W:W,'2-3-6. Travel Costs&amp;CoS&amp;EC'!C:C,B61,'2-3-6. Travel Costs&amp;CoS&amp;EC'!B:B,$F$20,'2-3-6. Travel Costs&amp;CoS&amp;EC'!X:X,"&lt;&gt;Error")+SUMIFS('4. Equipment Costs'!R:R,'4. Equipment Costs'!C:C,B61,'4. Equipment Costs'!B:B,$F$20,'4. Equipment Costs'!S:S,"&lt;&gt;Error")+SUMIFS('5. Subcontracting Costs'!R:R,'5. Subcontracting Costs'!C:C,B61,'5. Subcontracting Costs'!B:B,$F$20,'5. Subcontracting Costs'!S:S,"&lt;&gt;Error")</f>
        <v>0</v>
      </c>
      <c r="G61" s="343"/>
      <c r="H61" s="344"/>
      <c r="I61" s="342">
        <f>SUMIFS('1. Staff Costs'!P:P,'1. Staff Costs'!C:C,B61,'1. Staff Costs'!B:B,$I$20,'1. Staff Costs'!Q:Q,"&lt;&gt;Error")+SUMIFS('2-3-6. Travel Costs&amp;CoS&amp;EC'!W:W,'2-3-6. Travel Costs&amp;CoS&amp;EC'!C:C,B61,'2-3-6. Travel Costs&amp;CoS&amp;EC'!B:B,$I$20,'2-3-6. Travel Costs&amp;CoS&amp;EC'!X:X,"&lt;&gt;Error")+SUMIFS('4. Equipment Costs'!R:R,'4. Equipment Costs'!C:C,B61,'4. Equipment Costs'!B:B,$I$20,'4. Equipment Costs'!S:S,"&lt;&gt;Error")+SUMIFS('5. Subcontracting Costs'!R:R,'5. Subcontracting Costs'!C:C,B61,'5. Subcontracting Costs'!B:B,$I$20,'5. Subcontracting Costs'!S:S,"&lt;&gt;Error")</f>
        <v>0</v>
      </c>
      <c r="J61" s="343"/>
      <c r="K61" s="344"/>
      <c r="L61" s="342">
        <f>SUMIFS('1. Staff Costs'!P:P,'1. Staff Costs'!C:C,B61,'1. Staff Costs'!B:B,$L$20,'1. Staff Costs'!Q:Q,"&lt;&gt;Error")+SUMIFS('2-3-6. Travel Costs&amp;CoS&amp;EC'!W:W,'2-3-6. Travel Costs&amp;CoS&amp;EC'!C:C,B61,'2-3-6. Travel Costs&amp;CoS&amp;EC'!B:B,$L$20,'2-3-6. Travel Costs&amp;CoS&amp;EC'!X:X,"&lt;&gt;Error")+SUMIFS('4. Equipment Costs'!R:R,'4. Equipment Costs'!C:C,B61,'4. Equipment Costs'!B:B,$L$20,'4. Equipment Costs'!S:S,"&lt;&gt;Error")+SUMIFS('5. Subcontracting Costs'!R:R,'5. Subcontracting Costs'!C:C,B61,'5. Subcontracting Costs'!B:B,$L$20,'5. Subcontracting Costs'!S:S,"&lt;&gt;Error")</f>
        <v>0</v>
      </c>
      <c r="M61" s="343"/>
      <c r="N61" s="344"/>
      <c r="O61" s="342">
        <f>SUMIFS('1. Staff Costs'!P:P,'1. Staff Costs'!C:C,B61,'1. Staff Costs'!B:B,$O$20,'1. Staff Costs'!Q:Q,"&lt;&gt;Error")+SUMIFS('2-3-6. Travel Costs&amp;CoS&amp;EC'!W:W,'2-3-6. Travel Costs&amp;CoS&amp;EC'!C:C,B61,'2-3-6. Travel Costs&amp;CoS&amp;EC'!B:B,$O$20,'2-3-6. Travel Costs&amp;CoS&amp;EC'!X:X,"&lt;&gt;Error")+SUMIFS('4. Equipment Costs'!R:R,'4. Equipment Costs'!C:C,B61,'4. Equipment Costs'!B:B,$O$20,'4. Equipment Costs'!S:S,"&lt;&gt;Error")+SUMIFS('5. Subcontracting Costs'!R:R,'5. Subcontracting Costs'!C:C,B61,'5. Subcontracting Costs'!B:B,$O$20,'5. Subcontracting Costs'!S:S,"&lt;&gt;Error")</f>
        <v>0</v>
      </c>
      <c r="P61" s="343"/>
      <c r="Q61" s="344"/>
      <c r="R61" s="342">
        <f>SUMIFS('1. Staff Costs'!P:P,'1. Staff Costs'!C:C,B61,'1. Staff Costs'!B:B,$R$20,'1. Staff Costs'!Q:Q,"&lt;&gt;Error")+SUMIFS('2-3-6. Travel Costs&amp;CoS&amp;EC'!W:W,'2-3-6. Travel Costs&amp;CoS&amp;EC'!C:C,B61,'2-3-6. Travel Costs&amp;CoS&amp;EC'!B:B,$R$20,'2-3-6. Travel Costs&amp;CoS&amp;EC'!X:X,"&lt;&gt;Error")+SUMIFS('4. Equipment Costs'!R:R,'4. Equipment Costs'!C:C,B61,'4. Equipment Costs'!B:B,$R$20,'4. Equipment Costs'!S:S,"&lt;&gt;Error")+SUMIFS('5. Subcontracting Costs'!R:R,'5. Subcontracting Costs'!C:C,B61,'5. Subcontracting Costs'!B:B,$R$20,'5. Subcontracting Costs'!S:S,"&lt;&gt;Error")</f>
        <v>0</v>
      </c>
      <c r="S61" s="343"/>
      <c r="T61" s="344"/>
      <c r="U61" s="185">
        <f t="shared" si="4"/>
        <v>0</v>
      </c>
    </row>
    <row r="62" spans="2:21" x14ac:dyDescent="0.4">
      <c r="B62" s="208" t="s">
        <v>133</v>
      </c>
      <c r="C62" s="171" t="str">
        <f>IF('Final financial statement'!E64=0,"",'Final financial statement'!E64)</f>
        <v/>
      </c>
      <c r="D62" s="336" t="str">
        <f>IF('Final financial statement'!D64=0,"",'Final financial statement'!D64)</f>
        <v/>
      </c>
      <c r="E62" s="337"/>
      <c r="F62" s="342">
        <f>SUMIFS('1. Staff Costs'!P:P,'1. Staff Costs'!C:C,B62,'1. Staff Costs'!B:B,$F$20,'1. Staff Costs'!Q:Q,"&lt;&gt;Error")+SUMIFS('2-3-6. Travel Costs&amp;CoS&amp;EC'!W:W,'2-3-6. Travel Costs&amp;CoS&amp;EC'!C:C,B62,'2-3-6. Travel Costs&amp;CoS&amp;EC'!B:B,$F$20,'2-3-6. Travel Costs&amp;CoS&amp;EC'!X:X,"&lt;&gt;Error")+SUMIFS('4. Equipment Costs'!R:R,'4. Equipment Costs'!C:C,B62,'4. Equipment Costs'!B:B,$F$20,'4. Equipment Costs'!S:S,"&lt;&gt;Error")+SUMIFS('5. Subcontracting Costs'!R:R,'5. Subcontracting Costs'!C:C,B62,'5. Subcontracting Costs'!B:B,$F$20,'5. Subcontracting Costs'!S:S,"&lt;&gt;Error")</f>
        <v>0</v>
      </c>
      <c r="G62" s="343"/>
      <c r="H62" s="344"/>
      <c r="I62" s="342">
        <f>SUMIFS('1. Staff Costs'!P:P,'1. Staff Costs'!C:C,B62,'1. Staff Costs'!B:B,$I$20,'1. Staff Costs'!Q:Q,"&lt;&gt;Error")+SUMIFS('2-3-6. Travel Costs&amp;CoS&amp;EC'!W:W,'2-3-6. Travel Costs&amp;CoS&amp;EC'!C:C,B62,'2-3-6. Travel Costs&amp;CoS&amp;EC'!B:B,$I$20,'2-3-6. Travel Costs&amp;CoS&amp;EC'!X:X,"&lt;&gt;Error")+SUMIFS('4. Equipment Costs'!R:R,'4. Equipment Costs'!C:C,B62,'4. Equipment Costs'!B:B,$I$20,'4. Equipment Costs'!S:S,"&lt;&gt;Error")+SUMIFS('5. Subcontracting Costs'!R:R,'5. Subcontracting Costs'!C:C,B62,'5. Subcontracting Costs'!B:B,$I$20,'5. Subcontracting Costs'!S:S,"&lt;&gt;Error")</f>
        <v>0</v>
      </c>
      <c r="J62" s="343"/>
      <c r="K62" s="344"/>
      <c r="L62" s="342">
        <f>SUMIFS('1. Staff Costs'!P:P,'1. Staff Costs'!C:C,B62,'1. Staff Costs'!B:B,$L$20,'1. Staff Costs'!Q:Q,"&lt;&gt;Error")+SUMIFS('2-3-6. Travel Costs&amp;CoS&amp;EC'!W:W,'2-3-6. Travel Costs&amp;CoS&amp;EC'!C:C,B62,'2-3-6. Travel Costs&amp;CoS&amp;EC'!B:B,$L$20,'2-3-6. Travel Costs&amp;CoS&amp;EC'!X:X,"&lt;&gt;Error")+SUMIFS('4. Equipment Costs'!R:R,'4. Equipment Costs'!C:C,B62,'4. Equipment Costs'!B:B,$L$20,'4. Equipment Costs'!S:S,"&lt;&gt;Error")+SUMIFS('5. Subcontracting Costs'!R:R,'5. Subcontracting Costs'!C:C,B62,'5. Subcontracting Costs'!B:B,$L$20,'5. Subcontracting Costs'!S:S,"&lt;&gt;Error")</f>
        <v>0</v>
      </c>
      <c r="M62" s="343"/>
      <c r="N62" s="344"/>
      <c r="O62" s="342">
        <f>SUMIFS('1. Staff Costs'!P:P,'1. Staff Costs'!C:C,B62,'1. Staff Costs'!B:B,$O$20,'1. Staff Costs'!Q:Q,"&lt;&gt;Error")+SUMIFS('2-3-6. Travel Costs&amp;CoS&amp;EC'!W:W,'2-3-6. Travel Costs&amp;CoS&amp;EC'!C:C,B62,'2-3-6. Travel Costs&amp;CoS&amp;EC'!B:B,$O$20,'2-3-6. Travel Costs&amp;CoS&amp;EC'!X:X,"&lt;&gt;Error")+SUMIFS('4. Equipment Costs'!R:R,'4. Equipment Costs'!C:C,B62,'4. Equipment Costs'!B:B,$O$20,'4. Equipment Costs'!S:S,"&lt;&gt;Error")+SUMIFS('5. Subcontracting Costs'!R:R,'5. Subcontracting Costs'!C:C,B62,'5. Subcontracting Costs'!B:B,$O$20,'5. Subcontracting Costs'!S:S,"&lt;&gt;Error")</f>
        <v>0</v>
      </c>
      <c r="P62" s="343"/>
      <c r="Q62" s="344"/>
      <c r="R62" s="342">
        <f>SUMIFS('1. Staff Costs'!P:P,'1. Staff Costs'!C:C,B62,'1. Staff Costs'!B:B,$R$20,'1. Staff Costs'!Q:Q,"&lt;&gt;Error")+SUMIFS('2-3-6. Travel Costs&amp;CoS&amp;EC'!W:W,'2-3-6. Travel Costs&amp;CoS&amp;EC'!C:C,B62,'2-3-6. Travel Costs&amp;CoS&amp;EC'!B:B,$R$20,'2-3-6. Travel Costs&amp;CoS&amp;EC'!X:X,"&lt;&gt;Error")+SUMIFS('4. Equipment Costs'!R:R,'4. Equipment Costs'!C:C,B62,'4. Equipment Costs'!B:B,$R$20,'4. Equipment Costs'!S:S,"&lt;&gt;Error")+SUMIFS('5. Subcontracting Costs'!R:R,'5. Subcontracting Costs'!C:C,B62,'5. Subcontracting Costs'!B:B,$R$20,'5. Subcontracting Costs'!S:S,"&lt;&gt;Error")</f>
        <v>0</v>
      </c>
      <c r="S62" s="343"/>
      <c r="T62" s="344"/>
      <c r="U62" s="185">
        <f t="shared" si="4"/>
        <v>0</v>
      </c>
    </row>
    <row r="63" spans="2:21" x14ac:dyDescent="0.4">
      <c r="B63" s="208" t="s">
        <v>134</v>
      </c>
      <c r="C63" s="171" t="str">
        <f>IF('Final financial statement'!E65=0,"",'Final financial statement'!E65)</f>
        <v/>
      </c>
      <c r="D63" s="336" t="str">
        <f>IF('Final financial statement'!D65=0,"",'Final financial statement'!D65)</f>
        <v/>
      </c>
      <c r="E63" s="337"/>
      <c r="F63" s="342">
        <f>SUMIFS('1. Staff Costs'!P:P,'1. Staff Costs'!C:C,B63,'1. Staff Costs'!B:B,$F$20,'1. Staff Costs'!Q:Q,"&lt;&gt;Error")+SUMIFS('2-3-6. Travel Costs&amp;CoS&amp;EC'!W:W,'2-3-6. Travel Costs&amp;CoS&amp;EC'!C:C,B63,'2-3-6. Travel Costs&amp;CoS&amp;EC'!B:B,$F$20,'2-3-6. Travel Costs&amp;CoS&amp;EC'!X:X,"&lt;&gt;Error")+SUMIFS('4. Equipment Costs'!R:R,'4. Equipment Costs'!C:C,B63,'4. Equipment Costs'!B:B,$F$20,'4. Equipment Costs'!S:S,"&lt;&gt;Error")+SUMIFS('5. Subcontracting Costs'!R:R,'5. Subcontracting Costs'!C:C,B63,'5. Subcontracting Costs'!B:B,$F$20,'5. Subcontracting Costs'!S:S,"&lt;&gt;Error")</f>
        <v>0</v>
      </c>
      <c r="G63" s="343"/>
      <c r="H63" s="344"/>
      <c r="I63" s="342">
        <f>SUMIFS('1. Staff Costs'!P:P,'1. Staff Costs'!C:C,B63,'1. Staff Costs'!B:B,$I$20,'1. Staff Costs'!Q:Q,"&lt;&gt;Error")+SUMIFS('2-3-6. Travel Costs&amp;CoS&amp;EC'!W:W,'2-3-6. Travel Costs&amp;CoS&amp;EC'!C:C,B63,'2-3-6. Travel Costs&amp;CoS&amp;EC'!B:B,$I$20,'2-3-6. Travel Costs&amp;CoS&amp;EC'!X:X,"&lt;&gt;Error")+SUMIFS('4. Equipment Costs'!R:R,'4. Equipment Costs'!C:C,B63,'4. Equipment Costs'!B:B,$I$20,'4. Equipment Costs'!S:S,"&lt;&gt;Error")+SUMIFS('5. Subcontracting Costs'!R:R,'5. Subcontracting Costs'!C:C,B63,'5. Subcontracting Costs'!B:B,$I$20,'5. Subcontracting Costs'!S:S,"&lt;&gt;Error")</f>
        <v>0</v>
      </c>
      <c r="J63" s="343"/>
      <c r="K63" s="344"/>
      <c r="L63" s="342">
        <f>SUMIFS('1. Staff Costs'!P:P,'1. Staff Costs'!C:C,B63,'1. Staff Costs'!B:B,$L$20,'1. Staff Costs'!Q:Q,"&lt;&gt;Error")+SUMIFS('2-3-6. Travel Costs&amp;CoS&amp;EC'!W:W,'2-3-6. Travel Costs&amp;CoS&amp;EC'!C:C,B63,'2-3-6. Travel Costs&amp;CoS&amp;EC'!B:B,$L$20,'2-3-6. Travel Costs&amp;CoS&amp;EC'!X:X,"&lt;&gt;Error")+SUMIFS('4. Equipment Costs'!R:R,'4. Equipment Costs'!C:C,B63,'4. Equipment Costs'!B:B,$L$20,'4. Equipment Costs'!S:S,"&lt;&gt;Error")+SUMIFS('5. Subcontracting Costs'!R:R,'5. Subcontracting Costs'!C:C,B63,'5. Subcontracting Costs'!B:B,$L$20,'5. Subcontracting Costs'!S:S,"&lt;&gt;Error")</f>
        <v>0</v>
      </c>
      <c r="M63" s="343"/>
      <c r="N63" s="344"/>
      <c r="O63" s="342">
        <f>SUMIFS('1. Staff Costs'!P:P,'1. Staff Costs'!C:C,B63,'1. Staff Costs'!B:B,$O$20,'1. Staff Costs'!Q:Q,"&lt;&gt;Error")+SUMIFS('2-3-6. Travel Costs&amp;CoS&amp;EC'!W:W,'2-3-6. Travel Costs&amp;CoS&amp;EC'!C:C,B63,'2-3-6. Travel Costs&amp;CoS&amp;EC'!B:B,$O$20,'2-3-6. Travel Costs&amp;CoS&amp;EC'!X:X,"&lt;&gt;Error")+SUMIFS('4. Equipment Costs'!R:R,'4. Equipment Costs'!C:C,B63,'4. Equipment Costs'!B:B,$O$20,'4. Equipment Costs'!S:S,"&lt;&gt;Error")+SUMIFS('5. Subcontracting Costs'!R:R,'5. Subcontracting Costs'!C:C,B63,'5. Subcontracting Costs'!B:B,$O$20,'5. Subcontracting Costs'!S:S,"&lt;&gt;Error")</f>
        <v>0</v>
      </c>
      <c r="P63" s="343"/>
      <c r="Q63" s="344"/>
      <c r="R63" s="342">
        <f>SUMIFS('1. Staff Costs'!P:P,'1. Staff Costs'!C:C,B63,'1. Staff Costs'!B:B,$R$20,'1. Staff Costs'!Q:Q,"&lt;&gt;Error")+SUMIFS('2-3-6. Travel Costs&amp;CoS&amp;EC'!W:W,'2-3-6. Travel Costs&amp;CoS&amp;EC'!C:C,B63,'2-3-6. Travel Costs&amp;CoS&amp;EC'!B:B,$R$20,'2-3-6. Travel Costs&amp;CoS&amp;EC'!X:X,"&lt;&gt;Error")+SUMIFS('4. Equipment Costs'!R:R,'4. Equipment Costs'!C:C,B63,'4. Equipment Costs'!B:B,$R$20,'4. Equipment Costs'!S:S,"&lt;&gt;Error")+SUMIFS('5. Subcontracting Costs'!R:R,'5. Subcontracting Costs'!C:C,B63,'5. Subcontracting Costs'!B:B,$R$20,'5. Subcontracting Costs'!S:S,"&lt;&gt;Error")</f>
        <v>0</v>
      </c>
      <c r="S63" s="343"/>
      <c r="T63" s="344"/>
      <c r="U63" s="185">
        <f t="shared" si="4"/>
        <v>0</v>
      </c>
    </row>
    <row r="64" spans="2:21" x14ac:dyDescent="0.4">
      <c r="B64" s="208" t="s">
        <v>135</v>
      </c>
      <c r="C64" s="171" t="str">
        <f>IF('Final financial statement'!E66=0,"",'Final financial statement'!E66)</f>
        <v/>
      </c>
      <c r="D64" s="336" t="str">
        <f>IF('Final financial statement'!D66=0,"",'Final financial statement'!D66)</f>
        <v/>
      </c>
      <c r="E64" s="337"/>
      <c r="F64" s="342">
        <f>SUMIFS('1. Staff Costs'!P:P,'1. Staff Costs'!C:C,B64,'1. Staff Costs'!B:B,$F$20,'1. Staff Costs'!Q:Q,"&lt;&gt;Error")+SUMIFS('2-3-6. Travel Costs&amp;CoS&amp;EC'!W:W,'2-3-6. Travel Costs&amp;CoS&amp;EC'!C:C,B64,'2-3-6. Travel Costs&amp;CoS&amp;EC'!B:B,$F$20,'2-3-6. Travel Costs&amp;CoS&amp;EC'!X:X,"&lt;&gt;Error")+SUMIFS('4. Equipment Costs'!R:R,'4. Equipment Costs'!C:C,B64,'4. Equipment Costs'!B:B,$F$20,'4. Equipment Costs'!S:S,"&lt;&gt;Error")+SUMIFS('5. Subcontracting Costs'!R:R,'5. Subcontracting Costs'!C:C,B64,'5. Subcontracting Costs'!B:B,$F$20,'5. Subcontracting Costs'!S:S,"&lt;&gt;Error")</f>
        <v>0</v>
      </c>
      <c r="G64" s="343"/>
      <c r="H64" s="344"/>
      <c r="I64" s="342">
        <f>SUMIFS('1. Staff Costs'!P:P,'1. Staff Costs'!C:C,B64,'1. Staff Costs'!B:B,$I$20,'1. Staff Costs'!Q:Q,"&lt;&gt;Error")+SUMIFS('2-3-6. Travel Costs&amp;CoS&amp;EC'!W:W,'2-3-6. Travel Costs&amp;CoS&amp;EC'!C:C,B64,'2-3-6. Travel Costs&amp;CoS&amp;EC'!B:B,$I$20,'2-3-6. Travel Costs&amp;CoS&amp;EC'!X:X,"&lt;&gt;Error")+SUMIFS('4. Equipment Costs'!R:R,'4. Equipment Costs'!C:C,B64,'4. Equipment Costs'!B:B,$I$20,'4. Equipment Costs'!S:S,"&lt;&gt;Error")+SUMIFS('5. Subcontracting Costs'!R:R,'5. Subcontracting Costs'!C:C,B64,'5. Subcontracting Costs'!B:B,$I$20,'5. Subcontracting Costs'!S:S,"&lt;&gt;Error")</f>
        <v>0</v>
      </c>
      <c r="J64" s="343"/>
      <c r="K64" s="344"/>
      <c r="L64" s="342">
        <f>SUMIFS('1. Staff Costs'!P:P,'1. Staff Costs'!C:C,B64,'1. Staff Costs'!B:B,$L$20,'1. Staff Costs'!Q:Q,"&lt;&gt;Error")+SUMIFS('2-3-6. Travel Costs&amp;CoS&amp;EC'!W:W,'2-3-6. Travel Costs&amp;CoS&amp;EC'!C:C,B64,'2-3-6. Travel Costs&amp;CoS&amp;EC'!B:B,$L$20,'2-3-6. Travel Costs&amp;CoS&amp;EC'!X:X,"&lt;&gt;Error")+SUMIFS('4. Equipment Costs'!R:R,'4. Equipment Costs'!C:C,B64,'4. Equipment Costs'!B:B,$L$20,'4. Equipment Costs'!S:S,"&lt;&gt;Error")+SUMIFS('5. Subcontracting Costs'!R:R,'5. Subcontracting Costs'!C:C,B64,'5. Subcontracting Costs'!B:B,$L$20,'5. Subcontracting Costs'!S:S,"&lt;&gt;Error")</f>
        <v>0</v>
      </c>
      <c r="M64" s="343"/>
      <c r="N64" s="344"/>
      <c r="O64" s="342">
        <f>SUMIFS('1. Staff Costs'!P:P,'1. Staff Costs'!C:C,B64,'1. Staff Costs'!B:B,$O$20,'1. Staff Costs'!Q:Q,"&lt;&gt;Error")+SUMIFS('2-3-6. Travel Costs&amp;CoS&amp;EC'!W:W,'2-3-6. Travel Costs&amp;CoS&amp;EC'!C:C,B64,'2-3-6. Travel Costs&amp;CoS&amp;EC'!B:B,$O$20,'2-3-6. Travel Costs&amp;CoS&amp;EC'!X:X,"&lt;&gt;Error")+SUMIFS('4. Equipment Costs'!R:R,'4. Equipment Costs'!C:C,B64,'4. Equipment Costs'!B:B,$O$20,'4. Equipment Costs'!S:S,"&lt;&gt;Error")+SUMIFS('5. Subcontracting Costs'!R:R,'5. Subcontracting Costs'!C:C,B64,'5. Subcontracting Costs'!B:B,$O$20,'5. Subcontracting Costs'!S:S,"&lt;&gt;Error")</f>
        <v>0</v>
      </c>
      <c r="P64" s="343"/>
      <c r="Q64" s="344"/>
      <c r="R64" s="342">
        <f>SUMIFS('1. Staff Costs'!P:P,'1. Staff Costs'!C:C,B64,'1. Staff Costs'!B:B,$R$20,'1. Staff Costs'!Q:Q,"&lt;&gt;Error")+SUMIFS('2-3-6. Travel Costs&amp;CoS&amp;EC'!W:W,'2-3-6. Travel Costs&amp;CoS&amp;EC'!C:C,B64,'2-3-6. Travel Costs&amp;CoS&amp;EC'!B:B,$R$20,'2-3-6. Travel Costs&amp;CoS&amp;EC'!X:X,"&lt;&gt;Error")+SUMIFS('4. Equipment Costs'!R:R,'4. Equipment Costs'!C:C,B64,'4. Equipment Costs'!B:B,$R$20,'4. Equipment Costs'!S:S,"&lt;&gt;Error")+SUMIFS('5. Subcontracting Costs'!R:R,'5. Subcontracting Costs'!C:C,B64,'5. Subcontracting Costs'!B:B,$R$20,'5. Subcontracting Costs'!S:S,"&lt;&gt;Error")</f>
        <v>0</v>
      </c>
      <c r="S64" s="343"/>
      <c r="T64" s="344"/>
      <c r="U64" s="185">
        <f t="shared" si="4"/>
        <v>0</v>
      </c>
    </row>
    <row r="65" spans="2:21" x14ac:dyDescent="0.4">
      <c r="B65" s="208" t="s">
        <v>136</v>
      </c>
      <c r="C65" s="171" t="str">
        <f>IF('Final financial statement'!E67=0,"",'Final financial statement'!E67)</f>
        <v/>
      </c>
      <c r="D65" s="336" t="str">
        <f>IF('Final financial statement'!D67=0,"",'Final financial statement'!D67)</f>
        <v/>
      </c>
      <c r="E65" s="337"/>
      <c r="F65" s="342">
        <f>SUMIFS('1. Staff Costs'!P:P,'1. Staff Costs'!C:C,B65,'1. Staff Costs'!B:B,$F$20,'1. Staff Costs'!Q:Q,"&lt;&gt;Error")+SUMIFS('2-3-6. Travel Costs&amp;CoS&amp;EC'!W:W,'2-3-6. Travel Costs&amp;CoS&amp;EC'!C:C,B65,'2-3-6. Travel Costs&amp;CoS&amp;EC'!B:B,$F$20,'2-3-6. Travel Costs&amp;CoS&amp;EC'!X:X,"&lt;&gt;Error")+SUMIFS('4. Equipment Costs'!R:R,'4. Equipment Costs'!C:C,B65,'4. Equipment Costs'!B:B,$F$20,'4. Equipment Costs'!S:S,"&lt;&gt;Error")+SUMIFS('5. Subcontracting Costs'!R:R,'5. Subcontracting Costs'!C:C,B65,'5. Subcontracting Costs'!B:B,$F$20,'5. Subcontracting Costs'!S:S,"&lt;&gt;Error")</f>
        <v>0</v>
      </c>
      <c r="G65" s="343"/>
      <c r="H65" s="344"/>
      <c r="I65" s="342">
        <f>SUMIFS('1. Staff Costs'!P:P,'1. Staff Costs'!C:C,B65,'1. Staff Costs'!B:B,$I$20,'1. Staff Costs'!Q:Q,"&lt;&gt;Error")+SUMIFS('2-3-6. Travel Costs&amp;CoS&amp;EC'!W:W,'2-3-6. Travel Costs&amp;CoS&amp;EC'!C:C,B65,'2-3-6. Travel Costs&amp;CoS&amp;EC'!B:B,$I$20,'2-3-6. Travel Costs&amp;CoS&amp;EC'!X:X,"&lt;&gt;Error")+SUMIFS('4. Equipment Costs'!R:R,'4. Equipment Costs'!C:C,B65,'4. Equipment Costs'!B:B,$I$20,'4. Equipment Costs'!S:S,"&lt;&gt;Error")+SUMIFS('5. Subcontracting Costs'!R:R,'5. Subcontracting Costs'!C:C,B65,'5. Subcontracting Costs'!B:B,$I$20,'5. Subcontracting Costs'!S:S,"&lt;&gt;Error")</f>
        <v>0</v>
      </c>
      <c r="J65" s="343"/>
      <c r="K65" s="344"/>
      <c r="L65" s="342">
        <f>SUMIFS('1. Staff Costs'!P:P,'1. Staff Costs'!C:C,B65,'1. Staff Costs'!B:B,$L$20,'1. Staff Costs'!Q:Q,"&lt;&gt;Error")+SUMIFS('2-3-6. Travel Costs&amp;CoS&amp;EC'!W:W,'2-3-6. Travel Costs&amp;CoS&amp;EC'!C:C,B65,'2-3-6. Travel Costs&amp;CoS&amp;EC'!B:B,$L$20,'2-3-6. Travel Costs&amp;CoS&amp;EC'!X:X,"&lt;&gt;Error")+SUMIFS('4. Equipment Costs'!R:R,'4. Equipment Costs'!C:C,B65,'4. Equipment Costs'!B:B,$L$20,'4. Equipment Costs'!S:S,"&lt;&gt;Error")+SUMIFS('5. Subcontracting Costs'!R:R,'5. Subcontracting Costs'!C:C,B65,'5. Subcontracting Costs'!B:B,$L$20,'5. Subcontracting Costs'!S:S,"&lt;&gt;Error")</f>
        <v>0</v>
      </c>
      <c r="M65" s="343"/>
      <c r="N65" s="344"/>
      <c r="O65" s="342">
        <f>SUMIFS('1. Staff Costs'!P:P,'1. Staff Costs'!C:C,B65,'1. Staff Costs'!B:B,$O$20,'1. Staff Costs'!Q:Q,"&lt;&gt;Error")+SUMIFS('2-3-6. Travel Costs&amp;CoS&amp;EC'!W:W,'2-3-6. Travel Costs&amp;CoS&amp;EC'!C:C,B65,'2-3-6. Travel Costs&amp;CoS&amp;EC'!B:B,$O$20,'2-3-6. Travel Costs&amp;CoS&amp;EC'!X:X,"&lt;&gt;Error")+SUMIFS('4. Equipment Costs'!R:R,'4. Equipment Costs'!C:C,B65,'4. Equipment Costs'!B:B,$O$20,'4. Equipment Costs'!S:S,"&lt;&gt;Error")+SUMIFS('5. Subcontracting Costs'!R:R,'5. Subcontracting Costs'!C:C,B65,'5. Subcontracting Costs'!B:B,$O$20,'5. Subcontracting Costs'!S:S,"&lt;&gt;Error")</f>
        <v>0</v>
      </c>
      <c r="P65" s="343"/>
      <c r="Q65" s="344"/>
      <c r="R65" s="342">
        <f>SUMIFS('1. Staff Costs'!P:P,'1. Staff Costs'!C:C,B65,'1. Staff Costs'!B:B,$R$20,'1. Staff Costs'!Q:Q,"&lt;&gt;Error")+SUMIFS('2-3-6. Travel Costs&amp;CoS&amp;EC'!W:W,'2-3-6. Travel Costs&amp;CoS&amp;EC'!C:C,B65,'2-3-6. Travel Costs&amp;CoS&amp;EC'!B:B,$R$20,'2-3-6. Travel Costs&amp;CoS&amp;EC'!X:X,"&lt;&gt;Error")+SUMIFS('4. Equipment Costs'!R:R,'4. Equipment Costs'!C:C,B65,'4. Equipment Costs'!B:B,$R$20,'4. Equipment Costs'!S:S,"&lt;&gt;Error")+SUMIFS('5. Subcontracting Costs'!R:R,'5. Subcontracting Costs'!C:C,B65,'5. Subcontracting Costs'!B:B,$R$20,'5. Subcontracting Costs'!S:S,"&lt;&gt;Error")</f>
        <v>0</v>
      </c>
      <c r="S65" s="343"/>
      <c r="T65" s="344"/>
      <c r="U65" s="185">
        <f t="shared" si="4"/>
        <v>0</v>
      </c>
    </row>
    <row r="66" spans="2:21" x14ac:dyDescent="0.4">
      <c r="B66" s="208" t="s">
        <v>137</v>
      </c>
      <c r="C66" s="171" t="str">
        <f>IF('Final financial statement'!E68=0,"",'Final financial statement'!E68)</f>
        <v/>
      </c>
      <c r="D66" s="336" t="str">
        <f>IF('Final financial statement'!D68=0,"",'Final financial statement'!D68)</f>
        <v/>
      </c>
      <c r="E66" s="337"/>
      <c r="F66" s="342">
        <f>SUMIFS('1. Staff Costs'!P:P,'1. Staff Costs'!C:C,B66,'1. Staff Costs'!B:B,$F$20,'1. Staff Costs'!Q:Q,"&lt;&gt;Error")+SUMIFS('2-3-6. Travel Costs&amp;CoS&amp;EC'!W:W,'2-3-6. Travel Costs&amp;CoS&amp;EC'!C:C,B66,'2-3-6. Travel Costs&amp;CoS&amp;EC'!B:B,$F$20,'2-3-6. Travel Costs&amp;CoS&amp;EC'!X:X,"&lt;&gt;Error")+SUMIFS('4. Equipment Costs'!R:R,'4. Equipment Costs'!C:C,B66,'4. Equipment Costs'!B:B,$F$20,'4. Equipment Costs'!S:S,"&lt;&gt;Error")+SUMIFS('5. Subcontracting Costs'!R:R,'5. Subcontracting Costs'!C:C,B66,'5. Subcontracting Costs'!B:B,$F$20,'5. Subcontracting Costs'!S:S,"&lt;&gt;Error")</f>
        <v>0</v>
      </c>
      <c r="G66" s="343"/>
      <c r="H66" s="344"/>
      <c r="I66" s="342">
        <f>SUMIFS('1. Staff Costs'!P:P,'1. Staff Costs'!C:C,B66,'1. Staff Costs'!B:B,$I$20,'1. Staff Costs'!Q:Q,"&lt;&gt;Error")+SUMIFS('2-3-6. Travel Costs&amp;CoS&amp;EC'!W:W,'2-3-6. Travel Costs&amp;CoS&amp;EC'!C:C,B66,'2-3-6. Travel Costs&amp;CoS&amp;EC'!B:B,$I$20,'2-3-6. Travel Costs&amp;CoS&amp;EC'!X:X,"&lt;&gt;Error")+SUMIFS('4. Equipment Costs'!R:R,'4. Equipment Costs'!C:C,B66,'4. Equipment Costs'!B:B,$I$20,'4. Equipment Costs'!S:S,"&lt;&gt;Error")+SUMIFS('5. Subcontracting Costs'!R:R,'5. Subcontracting Costs'!C:C,B66,'5. Subcontracting Costs'!B:B,$I$20,'5. Subcontracting Costs'!S:S,"&lt;&gt;Error")</f>
        <v>0</v>
      </c>
      <c r="J66" s="343"/>
      <c r="K66" s="344"/>
      <c r="L66" s="342">
        <f>SUMIFS('1. Staff Costs'!P:P,'1. Staff Costs'!C:C,B66,'1. Staff Costs'!B:B,$L$20,'1. Staff Costs'!Q:Q,"&lt;&gt;Error")+SUMIFS('2-3-6. Travel Costs&amp;CoS&amp;EC'!W:W,'2-3-6. Travel Costs&amp;CoS&amp;EC'!C:C,B66,'2-3-6. Travel Costs&amp;CoS&amp;EC'!B:B,$L$20,'2-3-6. Travel Costs&amp;CoS&amp;EC'!X:X,"&lt;&gt;Error")+SUMIFS('4. Equipment Costs'!R:R,'4. Equipment Costs'!C:C,B66,'4. Equipment Costs'!B:B,$L$20,'4. Equipment Costs'!S:S,"&lt;&gt;Error")+SUMIFS('5. Subcontracting Costs'!R:R,'5. Subcontracting Costs'!C:C,B66,'5. Subcontracting Costs'!B:B,$L$20,'5. Subcontracting Costs'!S:S,"&lt;&gt;Error")</f>
        <v>0</v>
      </c>
      <c r="M66" s="343"/>
      <c r="N66" s="344"/>
      <c r="O66" s="342">
        <f>SUMIFS('1. Staff Costs'!P:P,'1. Staff Costs'!C:C,B66,'1. Staff Costs'!B:B,$O$20,'1. Staff Costs'!Q:Q,"&lt;&gt;Error")+SUMIFS('2-3-6. Travel Costs&amp;CoS&amp;EC'!W:W,'2-3-6. Travel Costs&amp;CoS&amp;EC'!C:C,B66,'2-3-6. Travel Costs&amp;CoS&amp;EC'!B:B,$O$20,'2-3-6. Travel Costs&amp;CoS&amp;EC'!X:X,"&lt;&gt;Error")+SUMIFS('4. Equipment Costs'!R:R,'4. Equipment Costs'!C:C,B66,'4. Equipment Costs'!B:B,$O$20,'4. Equipment Costs'!S:S,"&lt;&gt;Error")+SUMIFS('5. Subcontracting Costs'!R:R,'5. Subcontracting Costs'!C:C,B66,'5. Subcontracting Costs'!B:B,$O$20,'5. Subcontracting Costs'!S:S,"&lt;&gt;Error")</f>
        <v>0</v>
      </c>
      <c r="P66" s="343"/>
      <c r="Q66" s="344"/>
      <c r="R66" s="342">
        <f>SUMIFS('1. Staff Costs'!P:P,'1. Staff Costs'!C:C,B66,'1. Staff Costs'!B:B,$R$20,'1. Staff Costs'!Q:Q,"&lt;&gt;Error")+SUMIFS('2-3-6. Travel Costs&amp;CoS&amp;EC'!W:W,'2-3-6. Travel Costs&amp;CoS&amp;EC'!C:C,B66,'2-3-6. Travel Costs&amp;CoS&amp;EC'!B:B,$R$20,'2-3-6. Travel Costs&amp;CoS&amp;EC'!X:X,"&lt;&gt;Error")+SUMIFS('4. Equipment Costs'!R:R,'4. Equipment Costs'!C:C,B66,'4. Equipment Costs'!B:B,$R$20,'4. Equipment Costs'!S:S,"&lt;&gt;Error")+SUMIFS('5. Subcontracting Costs'!R:R,'5. Subcontracting Costs'!C:C,B66,'5. Subcontracting Costs'!B:B,$R$20,'5. Subcontracting Costs'!S:S,"&lt;&gt;Error")</f>
        <v>0</v>
      </c>
      <c r="S66" s="343"/>
      <c r="T66" s="344"/>
      <c r="U66" s="185">
        <f t="shared" si="4"/>
        <v>0</v>
      </c>
    </row>
    <row r="67" spans="2:21" x14ac:dyDescent="0.4">
      <c r="B67" s="208" t="s">
        <v>138</v>
      </c>
      <c r="C67" s="171" t="str">
        <f>IF('Final financial statement'!E69=0,"",'Final financial statement'!E69)</f>
        <v/>
      </c>
      <c r="D67" s="336" t="str">
        <f>IF('Final financial statement'!D69=0,"",'Final financial statement'!D69)</f>
        <v/>
      </c>
      <c r="E67" s="337"/>
      <c r="F67" s="342">
        <f>SUMIFS('1. Staff Costs'!P:P,'1. Staff Costs'!C:C,B67,'1. Staff Costs'!B:B,$F$20,'1. Staff Costs'!Q:Q,"&lt;&gt;Error")+SUMIFS('2-3-6. Travel Costs&amp;CoS&amp;EC'!W:W,'2-3-6. Travel Costs&amp;CoS&amp;EC'!C:C,B67,'2-3-6. Travel Costs&amp;CoS&amp;EC'!B:B,$F$20,'2-3-6. Travel Costs&amp;CoS&amp;EC'!X:X,"&lt;&gt;Error")+SUMIFS('4. Equipment Costs'!R:R,'4. Equipment Costs'!C:C,B67,'4. Equipment Costs'!B:B,$F$20,'4. Equipment Costs'!S:S,"&lt;&gt;Error")+SUMIFS('5. Subcontracting Costs'!R:R,'5. Subcontracting Costs'!C:C,B67,'5. Subcontracting Costs'!B:B,$F$20,'5. Subcontracting Costs'!S:S,"&lt;&gt;Error")</f>
        <v>0</v>
      </c>
      <c r="G67" s="343"/>
      <c r="H67" s="344"/>
      <c r="I67" s="342">
        <f>SUMIFS('1. Staff Costs'!P:P,'1. Staff Costs'!C:C,B67,'1. Staff Costs'!B:B,$I$20,'1. Staff Costs'!Q:Q,"&lt;&gt;Error")+SUMIFS('2-3-6. Travel Costs&amp;CoS&amp;EC'!W:W,'2-3-6. Travel Costs&amp;CoS&amp;EC'!C:C,B67,'2-3-6. Travel Costs&amp;CoS&amp;EC'!B:B,$I$20,'2-3-6. Travel Costs&amp;CoS&amp;EC'!X:X,"&lt;&gt;Error")+SUMIFS('4. Equipment Costs'!R:R,'4. Equipment Costs'!C:C,B67,'4. Equipment Costs'!B:B,$I$20,'4. Equipment Costs'!S:S,"&lt;&gt;Error")+SUMIFS('5. Subcontracting Costs'!R:R,'5. Subcontracting Costs'!C:C,B67,'5. Subcontracting Costs'!B:B,$I$20,'5. Subcontracting Costs'!S:S,"&lt;&gt;Error")</f>
        <v>0</v>
      </c>
      <c r="J67" s="343"/>
      <c r="K67" s="344"/>
      <c r="L67" s="342">
        <f>SUMIFS('1. Staff Costs'!P:P,'1. Staff Costs'!C:C,B67,'1. Staff Costs'!B:B,$L$20,'1. Staff Costs'!Q:Q,"&lt;&gt;Error")+SUMIFS('2-3-6. Travel Costs&amp;CoS&amp;EC'!W:W,'2-3-6. Travel Costs&amp;CoS&amp;EC'!C:C,B67,'2-3-6. Travel Costs&amp;CoS&amp;EC'!B:B,$L$20,'2-3-6. Travel Costs&amp;CoS&amp;EC'!X:X,"&lt;&gt;Error")+SUMIFS('4. Equipment Costs'!R:R,'4. Equipment Costs'!C:C,B67,'4. Equipment Costs'!B:B,$L$20,'4. Equipment Costs'!S:S,"&lt;&gt;Error")+SUMIFS('5. Subcontracting Costs'!R:R,'5. Subcontracting Costs'!C:C,B67,'5. Subcontracting Costs'!B:B,$L$20,'5. Subcontracting Costs'!S:S,"&lt;&gt;Error")</f>
        <v>0</v>
      </c>
      <c r="M67" s="343"/>
      <c r="N67" s="344"/>
      <c r="O67" s="342">
        <f>SUMIFS('1. Staff Costs'!P:P,'1. Staff Costs'!C:C,B67,'1. Staff Costs'!B:B,$O$20,'1. Staff Costs'!Q:Q,"&lt;&gt;Error")+SUMIFS('2-3-6. Travel Costs&amp;CoS&amp;EC'!W:W,'2-3-6. Travel Costs&amp;CoS&amp;EC'!C:C,B67,'2-3-6. Travel Costs&amp;CoS&amp;EC'!B:B,$O$20,'2-3-6. Travel Costs&amp;CoS&amp;EC'!X:X,"&lt;&gt;Error")+SUMIFS('4. Equipment Costs'!R:R,'4. Equipment Costs'!C:C,B67,'4. Equipment Costs'!B:B,$O$20,'4. Equipment Costs'!S:S,"&lt;&gt;Error")+SUMIFS('5. Subcontracting Costs'!R:R,'5. Subcontracting Costs'!C:C,B67,'5. Subcontracting Costs'!B:B,$O$20,'5. Subcontracting Costs'!S:S,"&lt;&gt;Error")</f>
        <v>0</v>
      </c>
      <c r="P67" s="343"/>
      <c r="Q67" s="344"/>
      <c r="R67" s="342">
        <f>SUMIFS('1. Staff Costs'!P:P,'1. Staff Costs'!C:C,B67,'1. Staff Costs'!B:B,$R$20,'1. Staff Costs'!Q:Q,"&lt;&gt;Error")+SUMIFS('2-3-6. Travel Costs&amp;CoS&amp;EC'!W:W,'2-3-6. Travel Costs&amp;CoS&amp;EC'!C:C,B67,'2-3-6. Travel Costs&amp;CoS&amp;EC'!B:B,$R$20,'2-3-6. Travel Costs&amp;CoS&amp;EC'!X:X,"&lt;&gt;Error")+SUMIFS('4. Equipment Costs'!R:R,'4. Equipment Costs'!C:C,B67,'4. Equipment Costs'!B:B,$R$20,'4. Equipment Costs'!S:S,"&lt;&gt;Error")+SUMIFS('5. Subcontracting Costs'!R:R,'5. Subcontracting Costs'!C:C,B67,'5. Subcontracting Costs'!B:B,$R$20,'5. Subcontracting Costs'!S:S,"&lt;&gt;Error")</f>
        <v>0</v>
      </c>
      <c r="S67" s="343"/>
      <c r="T67" s="344"/>
      <c r="U67" s="185">
        <f t="shared" si="4"/>
        <v>0</v>
      </c>
    </row>
    <row r="68" spans="2:21" x14ac:dyDescent="0.4">
      <c r="B68" s="208" t="s">
        <v>139</v>
      </c>
      <c r="C68" s="171" t="str">
        <f>IF('Final financial statement'!E70=0,"",'Final financial statement'!E70)</f>
        <v/>
      </c>
      <c r="D68" s="336" t="str">
        <f>IF('Final financial statement'!D70=0,"",'Final financial statement'!D70)</f>
        <v/>
      </c>
      <c r="E68" s="337"/>
      <c r="F68" s="342">
        <f>SUMIFS('1. Staff Costs'!P:P,'1. Staff Costs'!C:C,B68,'1. Staff Costs'!B:B,$F$20,'1. Staff Costs'!Q:Q,"&lt;&gt;Error")+SUMIFS('2-3-6. Travel Costs&amp;CoS&amp;EC'!W:W,'2-3-6. Travel Costs&amp;CoS&amp;EC'!C:C,B68,'2-3-6. Travel Costs&amp;CoS&amp;EC'!B:B,$F$20,'2-3-6. Travel Costs&amp;CoS&amp;EC'!X:X,"&lt;&gt;Error")+SUMIFS('4. Equipment Costs'!R:R,'4. Equipment Costs'!C:C,B68,'4. Equipment Costs'!B:B,$F$20,'4. Equipment Costs'!S:S,"&lt;&gt;Error")+SUMIFS('5. Subcontracting Costs'!R:R,'5. Subcontracting Costs'!C:C,B68,'5. Subcontracting Costs'!B:B,$F$20,'5. Subcontracting Costs'!S:S,"&lt;&gt;Error")</f>
        <v>0</v>
      </c>
      <c r="G68" s="343"/>
      <c r="H68" s="344"/>
      <c r="I68" s="342">
        <f>SUMIFS('1. Staff Costs'!P:P,'1. Staff Costs'!C:C,B68,'1. Staff Costs'!B:B,$I$20,'1. Staff Costs'!Q:Q,"&lt;&gt;Error")+SUMIFS('2-3-6. Travel Costs&amp;CoS&amp;EC'!W:W,'2-3-6. Travel Costs&amp;CoS&amp;EC'!C:C,B68,'2-3-6. Travel Costs&amp;CoS&amp;EC'!B:B,$I$20,'2-3-6. Travel Costs&amp;CoS&amp;EC'!X:X,"&lt;&gt;Error")+SUMIFS('4. Equipment Costs'!R:R,'4. Equipment Costs'!C:C,B68,'4. Equipment Costs'!B:B,$I$20,'4. Equipment Costs'!S:S,"&lt;&gt;Error")+SUMIFS('5. Subcontracting Costs'!R:R,'5. Subcontracting Costs'!C:C,B68,'5. Subcontracting Costs'!B:B,$I$20,'5. Subcontracting Costs'!S:S,"&lt;&gt;Error")</f>
        <v>0</v>
      </c>
      <c r="J68" s="343"/>
      <c r="K68" s="344"/>
      <c r="L68" s="342">
        <f>SUMIFS('1. Staff Costs'!P:P,'1. Staff Costs'!C:C,B68,'1. Staff Costs'!B:B,$L$20,'1. Staff Costs'!Q:Q,"&lt;&gt;Error")+SUMIFS('2-3-6. Travel Costs&amp;CoS&amp;EC'!W:W,'2-3-6. Travel Costs&amp;CoS&amp;EC'!C:C,B68,'2-3-6. Travel Costs&amp;CoS&amp;EC'!B:B,$L$20,'2-3-6. Travel Costs&amp;CoS&amp;EC'!X:X,"&lt;&gt;Error")+SUMIFS('4. Equipment Costs'!R:R,'4. Equipment Costs'!C:C,B68,'4. Equipment Costs'!B:B,$L$20,'4. Equipment Costs'!S:S,"&lt;&gt;Error")+SUMIFS('5. Subcontracting Costs'!R:R,'5. Subcontracting Costs'!C:C,B68,'5. Subcontracting Costs'!B:B,$L$20,'5. Subcontracting Costs'!S:S,"&lt;&gt;Error")</f>
        <v>0</v>
      </c>
      <c r="M68" s="343"/>
      <c r="N68" s="344"/>
      <c r="O68" s="342">
        <f>SUMIFS('1. Staff Costs'!P:P,'1. Staff Costs'!C:C,B68,'1. Staff Costs'!B:B,$O$20,'1. Staff Costs'!Q:Q,"&lt;&gt;Error")+SUMIFS('2-3-6. Travel Costs&amp;CoS&amp;EC'!W:W,'2-3-6. Travel Costs&amp;CoS&amp;EC'!C:C,B68,'2-3-6. Travel Costs&amp;CoS&amp;EC'!B:B,$O$20,'2-3-6. Travel Costs&amp;CoS&amp;EC'!X:X,"&lt;&gt;Error")+SUMIFS('4. Equipment Costs'!R:R,'4. Equipment Costs'!C:C,B68,'4. Equipment Costs'!B:B,$O$20,'4. Equipment Costs'!S:S,"&lt;&gt;Error")+SUMIFS('5. Subcontracting Costs'!R:R,'5. Subcontracting Costs'!C:C,B68,'5. Subcontracting Costs'!B:B,$O$20,'5. Subcontracting Costs'!S:S,"&lt;&gt;Error")</f>
        <v>0</v>
      </c>
      <c r="P68" s="343"/>
      <c r="Q68" s="344"/>
      <c r="R68" s="342">
        <f>SUMIFS('1. Staff Costs'!P:P,'1. Staff Costs'!C:C,B68,'1. Staff Costs'!B:B,$R$20,'1. Staff Costs'!Q:Q,"&lt;&gt;Error")+SUMIFS('2-3-6. Travel Costs&amp;CoS&amp;EC'!W:W,'2-3-6. Travel Costs&amp;CoS&amp;EC'!C:C,B68,'2-3-6. Travel Costs&amp;CoS&amp;EC'!B:B,$R$20,'2-3-6. Travel Costs&amp;CoS&amp;EC'!X:X,"&lt;&gt;Error")+SUMIFS('4. Equipment Costs'!R:R,'4. Equipment Costs'!C:C,B68,'4. Equipment Costs'!B:B,$R$20,'4. Equipment Costs'!S:S,"&lt;&gt;Error")+SUMIFS('5. Subcontracting Costs'!R:R,'5. Subcontracting Costs'!C:C,B68,'5. Subcontracting Costs'!B:B,$R$20,'5. Subcontracting Costs'!S:S,"&lt;&gt;Error")</f>
        <v>0</v>
      </c>
      <c r="S68" s="343"/>
      <c r="T68" s="344"/>
      <c r="U68" s="185">
        <f t="shared" si="4"/>
        <v>0</v>
      </c>
    </row>
    <row r="69" spans="2:21" x14ac:dyDescent="0.4">
      <c r="B69" s="208" t="s">
        <v>140</v>
      </c>
      <c r="C69" s="171" t="str">
        <f>IF('Final financial statement'!E71=0,"",'Final financial statement'!E71)</f>
        <v/>
      </c>
      <c r="D69" s="336" t="str">
        <f>IF('Final financial statement'!D71=0,"",'Final financial statement'!D71)</f>
        <v/>
      </c>
      <c r="E69" s="337"/>
      <c r="F69" s="342">
        <f>SUMIFS('1. Staff Costs'!P:P,'1. Staff Costs'!C:C,B69,'1. Staff Costs'!B:B,$F$20,'1. Staff Costs'!Q:Q,"&lt;&gt;Error")+SUMIFS('2-3-6. Travel Costs&amp;CoS&amp;EC'!W:W,'2-3-6. Travel Costs&amp;CoS&amp;EC'!C:C,B69,'2-3-6. Travel Costs&amp;CoS&amp;EC'!B:B,$F$20,'2-3-6. Travel Costs&amp;CoS&amp;EC'!X:X,"&lt;&gt;Error")+SUMIFS('4. Equipment Costs'!R:R,'4. Equipment Costs'!C:C,B69,'4. Equipment Costs'!B:B,$F$20,'4. Equipment Costs'!S:S,"&lt;&gt;Error")+SUMIFS('5. Subcontracting Costs'!R:R,'5. Subcontracting Costs'!C:C,B69,'5. Subcontracting Costs'!B:B,$F$20,'5. Subcontracting Costs'!S:S,"&lt;&gt;Error")</f>
        <v>0</v>
      </c>
      <c r="G69" s="343"/>
      <c r="H69" s="344"/>
      <c r="I69" s="342">
        <f>SUMIFS('1. Staff Costs'!P:P,'1. Staff Costs'!C:C,B69,'1. Staff Costs'!B:B,$I$20,'1. Staff Costs'!Q:Q,"&lt;&gt;Error")+SUMIFS('2-3-6. Travel Costs&amp;CoS&amp;EC'!W:W,'2-3-6. Travel Costs&amp;CoS&amp;EC'!C:C,B69,'2-3-6. Travel Costs&amp;CoS&amp;EC'!B:B,$I$20,'2-3-6. Travel Costs&amp;CoS&amp;EC'!X:X,"&lt;&gt;Error")+SUMIFS('4. Equipment Costs'!R:R,'4. Equipment Costs'!C:C,B69,'4. Equipment Costs'!B:B,$I$20,'4. Equipment Costs'!S:S,"&lt;&gt;Error")+SUMIFS('5. Subcontracting Costs'!R:R,'5. Subcontracting Costs'!C:C,B69,'5. Subcontracting Costs'!B:B,$I$20,'5. Subcontracting Costs'!S:S,"&lt;&gt;Error")</f>
        <v>0</v>
      </c>
      <c r="J69" s="343"/>
      <c r="K69" s="344"/>
      <c r="L69" s="342">
        <f>SUMIFS('1. Staff Costs'!P:P,'1. Staff Costs'!C:C,B69,'1. Staff Costs'!B:B,$L$20,'1. Staff Costs'!Q:Q,"&lt;&gt;Error")+SUMIFS('2-3-6. Travel Costs&amp;CoS&amp;EC'!W:W,'2-3-6. Travel Costs&amp;CoS&amp;EC'!C:C,B69,'2-3-6. Travel Costs&amp;CoS&amp;EC'!B:B,$L$20,'2-3-6. Travel Costs&amp;CoS&amp;EC'!X:X,"&lt;&gt;Error")+SUMIFS('4. Equipment Costs'!R:R,'4. Equipment Costs'!C:C,B69,'4. Equipment Costs'!B:B,$L$20,'4. Equipment Costs'!S:S,"&lt;&gt;Error")+SUMIFS('5. Subcontracting Costs'!R:R,'5. Subcontracting Costs'!C:C,B69,'5. Subcontracting Costs'!B:B,$L$20,'5. Subcontracting Costs'!S:S,"&lt;&gt;Error")</f>
        <v>0</v>
      </c>
      <c r="M69" s="343"/>
      <c r="N69" s="344"/>
      <c r="O69" s="342">
        <f>SUMIFS('1. Staff Costs'!P:P,'1. Staff Costs'!C:C,B69,'1. Staff Costs'!B:B,$O$20,'1. Staff Costs'!Q:Q,"&lt;&gt;Error")+SUMIFS('2-3-6. Travel Costs&amp;CoS&amp;EC'!W:W,'2-3-6. Travel Costs&amp;CoS&amp;EC'!C:C,B69,'2-3-6. Travel Costs&amp;CoS&amp;EC'!B:B,$O$20,'2-3-6. Travel Costs&amp;CoS&amp;EC'!X:X,"&lt;&gt;Error")+SUMIFS('4. Equipment Costs'!R:R,'4. Equipment Costs'!C:C,B69,'4. Equipment Costs'!B:B,$O$20,'4. Equipment Costs'!S:S,"&lt;&gt;Error")+SUMIFS('5. Subcontracting Costs'!R:R,'5. Subcontracting Costs'!C:C,B69,'5. Subcontracting Costs'!B:B,$O$20,'5. Subcontracting Costs'!S:S,"&lt;&gt;Error")</f>
        <v>0</v>
      </c>
      <c r="P69" s="343"/>
      <c r="Q69" s="344"/>
      <c r="R69" s="342">
        <f>SUMIFS('1. Staff Costs'!P:P,'1. Staff Costs'!C:C,B69,'1. Staff Costs'!B:B,$R$20,'1. Staff Costs'!Q:Q,"&lt;&gt;Error")+SUMIFS('2-3-6. Travel Costs&amp;CoS&amp;EC'!W:W,'2-3-6. Travel Costs&amp;CoS&amp;EC'!C:C,B69,'2-3-6. Travel Costs&amp;CoS&amp;EC'!B:B,$R$20,'2-3-6. Travel Costs&amp;CoS&amp;EC'!X:X,"&lt;&gt;Error")+SUMIFS('4. Equipment Costs'!R:R,'4. Equipment Costs'!C:C,B69,'4. Equipment Costs'!B:B,$R$20,'4. Equipment Costs'!S:S,"&lt;&gt;Error")+SUMIFS('5. Subcontracting Costs'!R:R,'5. Subcontracting Costs'!C:C,B69,'5. Subcontracting Costs'!B:B,$R$20,'5. Subcontracting Costs'!S:S,"&lt;&gt;Error")</f>
        <v>0</v>
      </c>
      <c r="S69" s="343"/>
      <c r="T69" s="344"/>
      <c r="U69" s="185">
        <f t="shared" si="4"/>
        <v>0</v>
      </c>
    </row>
    <row r="70" spans="2:21" x14ac:dyDescent="0.4">
      <c r="B70" s="208" t="s">
        <v>141</v>
      </c>
      <c r="C70" s="171" t="str">
        <f>IF('Final financial statement'!E72=0,"",'Final financial statement'!E72)</f>
        <v/>
      </c>
      <c r="D70" s="336" t="str">
        <f>IF('Final financial statement'!D72=0,"",'Final financial statement'!D72)</f>
        <v/>
      </c>
      <c r="E70" s="337"/>
      <c r="F70" s="342">
        <f>SUMIFS('1. Staff Costs'!P:P,'1. Staff Costs'!C:C,B70,'1. Staff Costs'!B:B,$F$20,'1. Staff Costs'!Q:Q,"&lt;&gt;Error")+SUMIFS('2-3-6. Travel Costs&amp;CoS&amp;EC'!W:W,'2-3-6. Travel Costs&amp;CoS&amp;EC'!C:C,B70,'2-3-6. Travel Costs&amp;CoS&amp;EC'!B:B,$F$20,'2-3-6. Travel Costs&amp;CoS&amp;EC'!X:X,"&lt;&gt;Error")+SUMIFS('4. Equipment Costs'!R:R,'4. Equipment Costs'!C:C,B70,'4. Equipment Costs'!B:B,$F$20,'4. Equipment Costs'!S:S,"&lt;&gt;Error")+SUMIFS('5. Subcontracting Costs'!R:R,'5. Subcontracting Costs'!C:C,B70,'5. Subcontracting Costs'!B:B,$F$20,'5. Subcontracting Costs'!S:S,"&lt;&gt;Error")</f>
        <v>0</v>
      </c>
      <c r="G70" s="343"/>
      <c r="H70" s="344"/>
      <c r="I70" s="342">
        <f>SUMIFS('1. Staff Costs'!P:P,'1. Staff Costs'!C:C,B70,'1. Staff Costs'!B:B,$I$20,'1. Staff Costs'!Q:Q,"&lt;&gt;Error")+SUMIFS('2-3-6. Travel Costs&amp;CoS&amp;EC'!W:W,'2-3-6. Travel Costs&amp;CoS&amp;EC'!C:C,B70,'2-3-6. Travel Costs&amp;CoS&amp;EC'!B:B,$I$20,'2-3-6. Travel Costs&amp;CoS&amp;EC'!X:X,"&lt;&gt;Error")+SUMIFS('4. Equipment Costs'!R:R,'4. Equipment Costs'!C:C,B70,'4. Equipment Costs'!B:B,$I$20,'4. Equipment Costs'!S:S,"&lt;&gt;Error")+SUMIFS('5. Subcontracting Costs'!R:R,'5. Subcontracting Costs'!C:C,B70,'5. Subcontracting Costs'!B:B,$I$20,'5. Subcontracting Costs'!S:S,"&lt;&gt;Error")</f>
        <v>0</v>
      </c>
      <c r="J70" s="343"/>
      <c r="K70" s="344"/>
      <c r="L70" s="342">
        <f>SUMIFS('1. Staff Costs'!P:P,'1. Staff Costs'!C:C,B70,'1. Staff Costs'!B:B,$L$20,'1. Staff Costs'!Q:Q,"&lt;&gt;Error")+SUMIFS('2-3-6. Travel Costs&amp;CoS&amp;EC'!W:W,'2-3-6. Travel Costs&amp;CoS&amp;EC'!C:C,B70,'2-3-6. Travel Costs&amp;CoS&amp;EC'!B:B,$L$20,'2-3-6. Travel Costs&amp;CoS&amp;EC'!X:X,"&lt;&gt;Error")+SUMIFS('4. Equipment Costs'!R:R,'4. Equipment Costs'!C:C,B70,'4. Equipment Costs'!B:B,$L$20,'4. Equipment Costs'!S:S,"&lt;&gt;Error")+SUMIFS('5. Subcontracting Costs'!R:R,'5. Subcontracting Costs'!C:C,B70,'5. Subcontracting Costs'!B:B,$L$20,'5. Subcontracting Costs'!S:S,"&lt;&gt;Error")</f>
        <v>0</v>
      </c>
      <c r="M70" s="343"/>
      <c r="N70" s="344"/>
      <c r="O70" s="342">
        <f>SUMIFS('1. Staff Costs'!P:P,'1. Staff Costs'!C:C,B70,'1. Staff Costs'!B:B,$O$20,'1. Staff Costs'!Q:Q,"&lt;&gt;Error")+SUMIFS('2-3-6. Travel Costs&amp;CoS&amp;EC'!W:W,'2-3-6. Travel Costs&amp;CoS&amp;EC'!C:C,B70,'2-3-6. Travel Costs&amp;CoS&amp;EC'!B:B,$O$20,'2-3-6. Travel Costs&amp;CoS&amp;EC'!X:X,"&lt;&gt;Error")+SUMIFS('4. Equipment Costs'!R:R,'4. Equipment Costs'!C:C,B70,'4. Equipment Costs'!B:B,$O$20,'4. Equipment Costs'!S:S,"&lt;&gt;Error")+SUMIFS('5. Subcontracting Costs'!R:R,'5. Subcontracting Costs'!C:C,B70,'5. Subcontracting Costs'!B:B,$O$20,'5. Subcontracting Costs'!S:S,"&lt;&gt;Error")</f>
        <v>0</v>
      </c>
      <c r="P70" s="343"/>
      <c r="Q70" s="344"/>
      <c r="R70" s="342">
        <f>SUMIFS('1. Staff Costs'!P:P,'1. Staff Costs'!C:C,B70,'1. Staff Costs'!B:B,$R$20,'1. Staff Costs'!Q:Q,"&lt;&gt;Error")+SUMIFS('2-3-6. Travel Costs&amp;CoS&amp;EC'!W:W,'2-3-6. Travel Costs&amp;CoS&amp;EC'!C:C,B70,'2-3-6. Travel Costs&amp;CoS&amp;EC'!B:B,$R$20,'2-3-6. Travel Costs&amp;CoS&amp;EC'!X:X,"&lt;&gt;Error")+SUMIFS('4. Equipment Costs'!R:R,'4. Equipment Costs'!C:C,B70,'4. Equipment Costs'!B:B,$R$20,'4. Equipment Costs'!S:S,"&lt;&gt;Error")+SUMIFS('5. Subcontracting Costs'!R:R,'5. Subcontracting Costs'!C:C,B70,'5. Subcontracting Costs'!B:B,$R$20,'5. Subcontracting Costs'!S:S,"&lt;&gt;Error")</f>
        <v>0</v>
      </c>
      <c r="S70" s="343"/>
      <c r="T70" s="344"/>
      <c r="U70" s="185">
        <f t="shared" si="4"/>
        <v>0</v>
      </c>
    </row>
    <row r="71" spans="2:21" x14ac:dyDescent="0.4">
      <c r="B71" s="208" t="s">
        <v>146</v>
      </c>
      <c r="C71" s="171" t="str">
        <f>IF('Final financial statement'!E73=0,"",'Final financial statement'!E73)</f>
        <v/>
      </c>
      <c r="D71" s="336" t="str">
        <f>IF('Final financial statement'!D73=0,"",'Final financial statement'!D73)</f>
        <v/>
      </c>
      <c r="E71" s="337"/>
      <c r="F71" s="342">
        <f>SUMIFS('1. Staff Costs'!P:P,'1. Staff Costs'!C:C,B71,'1. Staff Costs'!B:B,$F$20,'1. Staff Costs'!Q:Q,"&lt;&gt;Error")+SUMIFS('2-3-6. Travel Costs&amp;CoS&amp;EC'!W:W,'2-3-6. Travel Costs&amp;CoS&amp;EC'!C:C,B71,'2-3-6. Travel Costs&amp;CoS&amp;EC'!B:B,$F$20,'2-3-6. Travel Costs&amp;CoS&amp;EC'!X:X,"&lt;&gt;Error")+SUMIFS('4. Equipment Costs'!R:R,'4. Equipment Costs'!C:C,B71,'4. Equipment Costs'!B:B,$F$20,'4. Equipment Costs'!S:S,"&lt;&gt;Error")+SUMIFS('5. Subcontracting Costs'!R:R,'5. Subcontracting Costs'!C:C,B71,'5. Subcontracting Costs'!B:B,$F$20,'5. Subcontracting Costs'!S:S,"&lt;&gt;Error")</f>
        <v>0</v>
      </c>
      <c r="G71" s="343"/>
      <c r="H71" s="344"/>
      <c r="I71" s="342">
        <f>SUMIFS('1. Staff Costs'!P:P,'1. Staff Costs'!C:C,B71,'1. Staff Costs'!B:B,$I$20,'1. Staff Costs'!Q:Q,"&lt;&gt;Error")+SUMIFS('2-3-6. Travel Costs&amp;CoS&amp;EC'!W:W,'2-3-6. Travel Costs&amp;CoS&amp;EC'!C:C,B71,'2-3-6. Travel Costs&amp;CoS&amp;EC'!B:B,$I$20,'2-3-6. Travel Costs&amp;CoS&amp;EC'!X:X,"&lt;&gt;Error")+SUMIFS('4. Equipment Costs'!R:R,'4. Equipment Costs'!C:C,B71,'4. Equipment Costs'!B:B,$I$20,'4. Equipment Costs'!S:S,"&lt;&gt;Error")+SUMIFS('5. Subcontracting Costs'!R:R,'5. Subcontracting Costs'!C:C,B71,'5. Subcontracting Costs'!B:B,$I$20,'5. Subcontracting Costs'!S:S,"&lt;&gt;Error")</f>
        <v>0</v>
      </c>
      <c r="J71" s="343"/>
      <c r="K71" s="344"/>
      <c r="L71" s="342">
        <f>SUMIFS('1. Staff Costs'!P:P,'1. Staff Costs'!C:C,B71,'1. Staff Costs'!B:B,$L$20,'1. Staff Costs'!Q:Q,"&lt;&gt;Error")+SUMIFS('2-3-6. Travel Costs&amp;CoS&amp;EC'!W:W,'2-3-6. Travel Costs&amp;CoS&amp;EC'!C:C,B71,'2-3-6. Travel Costs&amp;CoS&amp;EC'!B:B,$L$20,'2-3-6. Travel Costs&amp;CoS&amp;EC'!X:X,"&lt;&gt;Error")+SUMIFS('4. Equipment Costs'!R:R,'4. Equipment Costs'!C:C,B71,'4. Equipment Costs'!B:B,$L$20,'4. Equipment Costs'!S:S,"&lt;&gt;Error")+SUMIFS('5. Subcontracting Costs'!R:R,'5. Subcontracting Costs'!C:C,B71,'5. Subcontracting Costs'!B:B,$L$20,'5. Subcontracting Costs'!S:S,"&lt;&gt;Error")</f>
        <v>0</v>
      </c>
      <c r="M71" s="343"/>
      <c r="N71" s="344"/>
      <c r="O71" s="342">
        <f>SUMIFS('1. Staff Costs'!P:P,'1. Staff Costs'!C:C,B71,'1. Staff Costs'!B:B,$O$20,'1. Staff Costs'!Q:Q,"&lt;&gt;Error")+SUMIFS('2-3-6. Travel Costs&amp;CoS&amp;EC'!W:W,'2-3-6. Travel Costs&amp;CoS&amp;EC'!C:C,B71,'2-3-6. Travel Costs&amp;CoS&amp;EC'!B:B,$O$20,'2-3-6. Travel Costs&amp;CoS&amp;EC'!X:X,"&lt;&gt;Error")+SUMIFS('4. Equipment Costs'!R:R,'4. Equipment Costs'!C:C,B71,'4. Equipment Costs'!B:B,$O$20,'4. Equipment Costs'!S:S,"&lt;&gt;Error")+SUMIFS('5. Subcontracting Costs'!R:R,'5. Subcontracting Costs'!C:C,B71,'5. Subcontracting Costs'!B:B,$O$20,'5. Subcontracting Costs'!S:S,"&lt;&gt;Error")</f>
        <v>0</v>
      </c>
      <c r="P71" s="343"/>
      <c r="Q71" s="344"/>
      <c r="R71" s="342">
        <f>SUMIFS('1. Staff Costs'!P:P,'1. Staff Costs'!C:C,B71,'1. Staff Costs'!B:B,$R$20,'1. Staff Costs'!Q:Q,"&lt;&gt;Error")+SUMIFS('2-3-6. Travel Costs&amp;CoS&amp;EC'!W:W,'2-3-6. Travel Costs&amp;CoS&amp;EC'!C:C,B71,'2-3-6. Travel Costs&amp;CoS&amp;EC'!B:B,$R$20,'2-3-6. Travel Costs&amp;CoS&amp;EC'!X:X,"&lt;&gt;Error")+SUMIFS('4. Equipment Costs'!R:R,'4. Equipment Costs'!C:C,B71,'4. Equipment Costs'!B:B,$R$20,'4. Equipment Costs'!S:S,"&lt;&gt;Error")+SUMIFS('5. Subcontracting Costs'!R:R,'5. Subcontracting Costs'!C:C,B71,'5. Subcontracting Costs'!B:B,$R$20,'5. Subcontracting Costs'!S:S,"&lt;&gt;Error")</f>
        <v>0</v>
      </c>
      <c r="S71" s="343"/>
      <c r="T71" s="344"/>
      <c r="U71" s="185">
        <f t="shared" si="4"/>
        <v>0</v>
      </c>
    </row>
    <row r="72" spans="2:21" x14ac:dyDescent="0.4">
      <c r="B72" s="208" t="s">
        <v>147</v>
      </c>
      <c r="C72" s="171" t="str">
        <f>IF('Final financial statement'!E74=0,"",'Final financial statement'!E74)</f>
        <v/>
      </c>
      <c r="D72" s="336" t="str">
        <f>IF('Final financial statement'!D74=0,"",'Final financial statement'!D74)</f>
        <v/>
      </c>
      <c r="E72" s="337"/>
      <c r="F72" s="342">
        <f>SUMIFS('1. Staff Costs'!P:P,'1. Staff Costs'!C:C,B72,'1. Staff Costs'!B:B,$F$20,'1. Staff Costs'!Q:Q,"&lt;&gt;Error")+SUMIFS('2-3-6. Travel Costs&amp;CoS&amp;EC'!W:W,'2-3-6. Travel Costs&amp;CoS&amp;EC'!C:C,B72,'2-3-6. Travel Costs&amp;CoS&amp;EC'!B:B,$F$20,'2-3-6. Travel Costs&amp;CoS&amp;EC'!X:X,"&lt;&gt;Error")+SUMIFS('4. Equipment Costs'!R:R,'4. Equipment Costs'!C:C,B72,'4. Equipment Costs'!B:B,$F$20,'4. Equipment Costs'!S:S,"&lt;&gt;Error")+SUMIFS('5. Subcontracting Costs'!R:R,'5. Subcontracting Costs'!C:C,B72,'5. Subcontracting Costs'!B:B,$F$20,'5. Subcontracting Costs'!S:S,"&lt;&gt;Error")</f>
        <v>0</v>
      </c>
      <c r="G72" s="343"/>
      <c r="H72" s="344"/>
      <c r="I72" s="342">
        <f>SUMIFS('1. Staff Costs'!P:P,'1. Staff Costs'!C:C,B72,'1. Staff Costs'!B:B,$I$20,'1. Staff Costs'!Q:Q,"&lt;&gt;Error")+SUMIFS('2-3-6. Travel Costs&amp;CoS&amp;EC'!W:W,'2-3-6. Travel Costs&amp;CoS&amp;EC'!C:C,B72,'2-3-6. Travel Costs&amp;CoS&amp;EC'!B:B,$I$20,'2-3-6. Travel Costs&amp;CoS&amp;EC'!X:X,"&lt;&gt;Error")+SUMIFS('4. Equipment Costs'!R:R,'4. Equipment Costs'!C:C,B72,'4. Equipment Costs'!B:B,$I$20,'4. Equipment Costs'!S:S,"&lt;&gt;Error")+SUMIFS('5. Subcontracting Costs'!R:R,'5. Subcontracting Costs'!C:C,B72,'5. Subcontracting Costs'!B:B,$I$20,'5. Subcontracting Costs'!S:S,"&lt;&gt;Error")</f>
        <v>0</v>
      </c>
      <c r="J72" s="343"/>
      <c r="K72" s="344"/>
      <c r="L72" s="342">
        <f>SUMIFS('1. Staff Costs'!P:P,'1. Staff Costs'!C:C,B72,'1. Staff Costs'!B:B,$L$20,'1. Staff Costs'!Q:Q,"&lt;&gt;Error")+SUMIFS('2-3-6. Travel Costs&amp;CoS&amp;EC'!W:W,'2-3-6. Travel Costs&amp;CoS&amp;EC'!C:C,B72,'2-3-6. Travel Costs&amp;CoS&amp;EC'!B:B,$L$20,'2-3-6. Travel Costs&amp;CoS&amp;EC'!X:X,"&lt;&gt;Error")+SUMIFS('4. Equipment Costs'!R:R,'4. Equipment Costs'!C:C,B72,'4. Equipment Costs'!B:B,$L$20,'4. Equipment Costs'!S:S,"&lt;&gt;Error")+SUMIFS('5. Subcontracting Costs'!R:R,'5. Subcontracting Costs'!C:C,B72,'5. Subcontracting Costs'!B:B,$L$20,'5. Subcontracting Costs'!S:S,"&lt;&gt;Error")</f>
        <v>0</v>
      </c>
      <c r="M72" s="343"/>
      <c r="N72" s="344"/>
      <c r="O72" s="342">
        <f>SUMIFS('1. Staff Costs'!P:P,'1. Staff Costs'!C:C,B72,'1. Staff Costs'!B:B,$O$20,'1. Staff Costs'!Q:Q,"&lt;&gt;Error")+SUMIFS('2-3-6. Travel Costs&amp;CoS&amp;EC'!W:W,'2-3-6. Travel Costs&amp;CoS&amp;EC'!C:C,B72,'2-3-6. Travel Costs&amp;CoS&amp;EC'!B:B,$O$20,'2-3-6. Travel Costs&amp;CoS&amp;EC'!X:X,"&lt;&gt;Error")+SUMIFS('4. Equipment Costs'!R:R,'4. Equipment Costs'!C:C,B72,'4. Equipment Costs'!B:B,$O$20,'4. Equipment Costs'!S:S,"&lt;&gt;Error")+SUMIFS('5. Subcontracting Costs'!R:R,'5. Subcontracting Costs'!C:C,B72,'5. Subcontracting Costs'!B:B,$O$20,'5. Subcontracting Costs'!S:S,"&lt;&gt;Error")</f>
        <v>0</v>
      </c>
      <c r="P72" s="343"/>
      <c r="Q72" s="344"/>
      <c r="R72" s="342">
        <f>SUMIFS('1. Staff Costs'!P:P,'1. Staff Costs'!C:C,B72,'1. Staff Costs'!B:B,$R$20,'1. Staff Costs'!Q:Q,"&lt;&gt;Error")+SUMIFS('2-3-6. Travel Costs&amp;CoS&amp;EC'!W:W,'2-3-6. Travel Costs&amp;CoS&amp;EC'!C:C,B72,'2-3-6. Travel Costs&amp;CoS&amp;EC'!B:B,$R$20,'2-3-6. Travel Costs&amp;CoS&amp;EC'!X:X,"&lt;&gt;Error")+SUMIFS('4. Equipment Costs'!R:R,'4. Equipment Costs'!C:C,B72,'4. Equipment Costs'!B:B,$R$20,'4. Equipment Costs'!S:S,"&lt;&gt;Error")+SUMIFS('5. Subcontracting Costs'!R:R,'5. Subcontracting Costs'!C:C,B72,'5. Subcontracting Costs'!B:B,$R$20,'5. Subcontracting Costs'!S:S,"&lt;&gt;Error")</f>
        <v>0</v>
      </c>
      <c r="S72" s="343"/>
      <c r="T72" s="344"/>
      <c r="U72" s="185">
        <f t="shared" si="4"/>
        <v>0</v>
      </c>
    </row>
    <row r="73" spans="2:21" x14ac:dyDescent="0.4">
      <c r="B73" s="208" t="s">
        <v>148</v>
      </c>
      <c r="C73" s="171" t="str">
        <f>IF('Final financial statement'!E75=0,"",'Final financial statement'!E75)</f>
        <v/>
      </c>
      <c r="D73" s="336" t="str">
        <f>IF('Final financial statement'!D75=0,"",'Final financial statement'!D75)</f>
        <v/>
      </c>
      <c r="E73" s="337"/>
      <c r="F73" s="342">
        <f>SUMIFS('1. Staff Costs'!P:P,'1. Staff Costs'!C:C,B73,'1. Staff Costs'!B:B,$F$20,'1. Staff Costs'!Q:Q,"&lt;&gt;Error")+SUMIFS('2-3-6. Travel Costs&amp;CoS&amp;EC'!W:W,'2-3-6. Travel Costs&amp;CoS&amp;EC'!C:C,B73,'2-3-6. Travel Costs&amp;CoS&amp;EC'!B:B,$F$20,'2-3-6. Travel Costs&amp;CoS&amp;EC'!X:X,"&lt;&gt;Error")+SUMIFS('4. Equipment Costs'!R:R,'4. Equipment Costs'!C:C,B73,'4. Equipment Costs'!B:B,$F$20,'4. Equipment Costs'!S:S,"&lt;&gt;Error")+SUMIFS('5. Subcontracting Costs'!R:R,'5. Subcontracting Costs'!C:C,B73,'5. Subcontracting Costs'!B:B,$F$20,'5. Subcontracting Costs'!S:S,"&lt;&gt;Error")</f>
        <v>0</v>
      </c>
      <c r="G73" s="343"/>
      <c r="H73" s="344"/>
      <c r="I73" s="342">
        <f>SUMIFS('1. Staff Costs'!P:P,'1. Staff Costs'!C:C,B73,'1. Staff Costs'!B:B,$I$20,'1. Staff Costs'!Q:Q,"&lt;&gt;Error")+SUMIFS('2-3-6. Travel Costs&amp;CoS&amp;EC'!W:W,'2-3-6. Travel Costs&amp;CoS&amp;EC'!C:C,B73,'2-3-6. Travel Costs&amp;CoS&amp;EC'!B:B,$I$20,'2-3-6. Travel Costs&amp;CoS&amp;EC'!X:X,"&lt;&gt;Error")+SUMIFS('4. Equipment Costs'!R:R,'4. Equipment Costs'!C:C,B73,'4. Equipment Costs'!B:B,$I$20,'4. Equipment Costs'!S:S,"&lt;&gt;Error")+SUMIFS('5. Subcontracting Costs'!R:R,'5. Subcontracting Costs'!C:C,B73,'5. Subcontracting Costs'!B:B,$I$20,'5. Subcontracting Costs'!S:S,"&lt;&gt;Error")</f>
        <v>0</v>
      </c>
      <c r="J73" s="343"/>
      <c r="K73" s="344"/>
      <c r="L73" s="342">
        <f>SUMIFS('1. Staff Costs'!P:P,'1. Staff Costs'!C:C,B73,'1. Staff Costs'!B:B,$L$20,'1. Staff Costs'!Q:Q,"&lt;&gt;Error")+SUMIFS('2-3-6. Travel Costs&amp;CoS&amp;EC'!W:W,'2-3-6. Travel Costs&amp;CoS&amp;EC'!C:C,B73,'2-3-6. Travel Costs&amp;CoS&amp;EC'!B:B,$L$20,'2-3-6. Travel Costs&amp;CoS&amp;EC'!X:X,"&lt;&gt;Error")+SUMIFS('4. Equipment Costs'!R:R,'4. Equipment Costs'!C:C,B73,'4. Equipment Costs'!B:B,$L$20,'4. Equipment Costs'!S:S,"&lt;&gt;Error")+SUMIFS('5. Subcontracting Costs'!R:R,'5. Subcontracting Costs'!C:C,B73,'5. Subcontracting Costs'!B:B,$L$20,'5. Subcontracting Costs'!S:S,"&lt;&gt;Error")</f>
        <v>0</v>
      </c>
      <c r="M73" s="343"/>
      <c r="N73" s="344"/>
      <c r="O73" s="342">
        <f>SUMIFS('1. Staff Costs'!P:P,'1. Staff Costs'!C:C,B73,'1. Staff Costs'!B:B,$O$20,'1. Staff Costs'!Q:Q,"&lt;&gt;Error")+SUMIFS('2-3-6. Travel Costs&amp;CoS&amp;EC'!W:W,'2-3-6. Travel Costs&amp;CoS&amp;EC'!C:C,B73,'2-3-6. Travel Costs&amp;CoS&amp;EC'!B:B,$O$20,'2-3-6. Travel Costs&amp;CoS&amp;EC'!X:X,"&lt;&gt;Error")+SUMIFS('4. Equipment Costs'!R:R,'4. Equipment Costs'!C:C,B73,'4. Equipment Costs'!B:B,$O$20,'4. Equipment Costs'!S:S,"&lt;&gt;Error")+SUMIFS('5. Subcontracting Costs'!R:R,'5. Subcontracting Costs'!C:C,B73,'5. Subcontracting Costs'!B:B,$O$20,'5. Subcontracting Costs'!S:S,"&lt;&gt;Error")</f>
        <v>0</v>
      </c>
      <c r="P73" s="343"/>
      <c r="Q73" s="344"/>
      <c r="R73" s="342">
        <f>SUMIFS('1. Staff Costs'!P:P,'1. Staff Costs'!C:C,B73,'1. Staff Costs'!B:B,$R$20,'1. Staff Costs'!Q:Q,"&lt;&gt;Error")+SUMIFS('2-3-6. Travel Costs&amp;CoS&amp;EC'!W:W,'2-3-6. Travel Costs&amp;CoS&amp;EC'!C:C,B73,'2-3-6. Travel Costs&amp;CoS&amp;EC'!B:B,$R$20,'2-3-6. Travel Costs&amp;CoS&amp;EC'!X:X,"&lt;&gt;Error")+SUMIFS('4. Equipment Costs'!R:R,'4. Equipment Costs'!C:C,B73,'4. Equipment Costs'!B:B,$R$20,'4. Equipment Costs'!S:S,"&lt;&gt;Error")+SUMIFS('5. Subcontracting Costs'!R:R,'5. Subcontracting Costs'!C:C,B73,'5. Subcontracting Costs'!B:B,$R$20,'5. Subcontracting Costs'!S:S,"&lt;&gt;Error")</f>
        <v>0</v>
      </c>
      <c r="S73" s="343"/>
      <c r="T73" s="344"/>
      <c r="U73" s="185">
        <f t="shared" si="4"/>
        <v>0</v>
      </c>
    </row>
    <row r="74" spans="2:21" x14ac:dyDescent="0.4">
      <c r="B74" s="208" t="s">
        <v>149</v>
      </c>
      <c r="C74" s="171" t="str">
        <f>IF('Final financial statement'!E76=0,"",'Final financial statement'!E76)</f>
        <v/>
      </c>
      <c r="D74" s="336" t="str">
        <f>IF('Final financial statement'!D76=0,"",'Final financial statement'!D76)</f>
        <v/>
      </c>
      <c r="E74" s="337"/>
      <c r="F74" s="342">
        <f>SUMIFS('1. Staff Costs'!P:P,'1. Staff Costs'!C:C,B74,'1. Staff Costs'!B:B,$F$20,'1. Staff Costs'!Q:Q,"&lt;&gt;Error")+SUMIFS('2-3-6. Travel Costs&amp;CoS&amp;EC'!W:W,'2-3-6. Travel Costs&amp;CoS&amp;EC'!C:C,B74,'2-3-6. Travel Costs&amp;CoS&amp;EC'!B:B,$F$20,'2-3-6. Travel Costs&amp;CoS&amp;EC'!X:X,"&lt;&gt;Error")+SUMIFS('4. Equipment Costs'!R:R,'4. Equipment Costs'!C:C,B74,'4. Equipment Costs'!B:B,$F$20,'4. Equipment Costs'!S:S,"&lt;&gt;Error")+SUMIFS('5. Subcontracting Costs'!R:R,'5. Subcontracting Costs'!C:C,B74,'5. Subcontracting Costs'!B:B,$F$20,'5. Subcontracting Costs'!S:S,"&lt;&gt;Error")</f>
        <v>0</v>
      </c>
      <c r="G74" s="343"/>
      <c r="H74" s="344"/>
      <c r="I74" s="342">
        <f>SUMIFS('1. Staff Costs'!P:P,'1. Staff Costs'!C:C,B74,'1. Staff Costs'!B:B,$I$20,'1. Staff Costs'!Q:Q,"&lt;&gt;Error")+SUMIFS('2-3-6. Travel Costs&amp;CoS&amp;EC'!W:W,'2-3-6. Travel Costs&amp;CoS&amp;EC'!C:C,B74,'2-3-6. Travel Costs&amp;CoS&amp;EC'!B:B,$I$20,'2-3-6. Travel Costs&amp;CoS&amp;EC'!X:X,"&lt;&gt;Error")+SUMIFS('4. Equipment Costs'!R:R,'4. Equipment Costs'!C:C,B74,'4. Equipment Costs'!B:B,$I$20,'4. Equipment Costs'!S:S,"&lt;&gt;Error")+SUMIFS('5. Subcontracting Costs'!R:R,'5. Subcontracting Costs'!C:C,B74,'5. Subcontracting Costs'!B:B,$I$20,'5. Subcontracting Costs'!S:S,"&lt;&gt;Error")</f>
        <v>0</v>
      </c>
      <c r="J74" s="343"/>
      <c r="K74" s="344"/>
      <c r="L74" s="342">
        <f>SUMIFS('1. Staff Costs'!P:P,'1. Staff Costs'!C:C,B74,'1. Staff Costs'!B:B,$L$20,'1. Staff Costs'!Q:Q,"&lt;&gt;Error")+SUMIFS('2-3-6. Travel Costs&amp;CoS&amp;EC'!W:W,'2-3-6. Travel Costs&amp;CoS&amp;EC'!C:C,B74,'2-3-6. Travel Costs&amp;CoS&amp;EC'!B:B,$L$20,'2-3-6. Travel Costs&amp;CoS&amp;EC'!X:X,"&lt;&gt;Error")+SUMIFS('4. Equipment Costs'!R:R,'4. Equipment Costs'!C:C,B74,'4. Equipment Costs'!B:B,$L$20,'4. Equipment Costs'!S:S,"&lt;&gt;Error")+SUMIFS('5. Subcontracting Costs'!R:R,'5. Subcontracting Costs'!C:C,B74,'5. Subcontracting Costs'!B:B,$L$20,'5. Subcontracting Costs'!S:S,"&lt;&gt;Error")</f>
        <v>0</v>
      </c>
      <c r="M74" s="343"/>
      <c r="N74" s="344"/>
      <c r="O74" s="342">
        <f>SUMIFS('1. Staff Costs'!P:P,'1. Staff Costs'!C:C,B74,'1. Staff Costs'!B:B,$O$20,'1. Staff Costs'!Q:Q,"&lt;&gt;Error")+SUMIFS('2-3-6. Travel Costs&amp;CoS&amp;EC'!W:W,'2-3-6. Travel Costs&amp;CoS&amp;EC'!C:C,B74,'2-3-6. Travel Costs&amp;CoS&amp;EC'!B:B,$O$20,'2-3-6. Travel Costs&amp;CoS&amp;EC'!X:X,"&lt;&gt;Error")+SUMIFS('4. Equipment Costs'!R:R,'4. Equipment Costs'!C:C,B74,'4. Equipment Costs'!B:B,$O$20,'4. Equipment Costs'!S:S,"&lt;&gt;Error")+SUMIFS('5. Subcontracting Costs'!R:R,'5. Subcontracting Costs'!C:C,B74,'5. Subcontracting Costs'!B:B,$O$20,'5. Subcontracting Costs'!S:S,"&lt;&gt;Error")</f>
        <v>0</v>
      </c>
      <c r="P74" s="343"/>
      <c r="Q74" s="344"/>
      <c r="R74" s="342">
        <f>SUMIFS('1. Staff Costs'!P:P,'1. Staff Costs'!C:C,B74,'1. Staff Costs'!B:B,$R$20,'1. Staff Costs'!Q:Q,"&lt;&gt;Error")+SUMIFS('2-3-6. Travel Costs&amp;CoS&amp;EC'!W:W,'2-3-6. Travel Costs&amp;CoS&amp;EC'!C:C,B74,'2-3-6. Travel Costs&amp;CoS&amp;EC'!B:B,$R$20,'2-3-6. Travel Costs&amp;CoS&amp;EC'!X:X,"&lt;&gt;Error")+SUMIFS('4. Equipment Costs'!R:R,'4. Equipment Costs'!C:C,B74,'4. Equipment Costs'!B:B,$R$20,'4. Equipment Costs'!S:S,"&lt;&gt;Error")+SUMIFS('5. Subcontracting Costs'!R:R,'5. Subcontracting Costs'!C:C,B74,'5. Subcontracting Costs'!B:B,$R$20,'5. Subcontracting Costs'!S:S,"&lt;&gt;Error")</f>
        <v>0</v>
      </c>
      <c r="S74" s="343"/>
      <c r="T74" s="344"/>
      <c r="U74" s="185">
        <f t="shared" si="4"/>
        <v>0</v>
      </c>
    </row>
    <row r="75" spans="2:21" x14ac:dyDescent="0.4">
      <c r="B75" s="208" t="s">
        <v>150</v>
      </c>
      <c r="C75" s="171" t="str">
        <f>IF('Final financial statement'!E77=0,"",'Final financial statement'!E77)</f>
        <v/>
      </c>
      <c r="D75" s="336" t="str">
        <f>IF('Final financial statement'!D77=0,"",'Final financial statement'!D77)</f>
        <v/>
      </c>
      <c r="E75" s="337"/>
      <c r="F75" s="342">
        <f>SUMIFS('1. Staff Costs'!P:P,'1. Staff Costs'!C:C,B75,'1. Staff Costs'!B:B,$F$20,'1. Staff Costs'!Q:Q,"&lt;&gt;Error")+SUMIFS('2-3-6. Travel Costs&amp;CoS&amp;EC'!W:W,'2-3-6. Travel Costs&amp;CoS&amp;EC'!C:C,B75,'2-3-6. Travel Costs&amp;CoS&amp;EC'!B:B,$F$20,'2-3-6. Travel Costs&amp;CoS&amp;EC'!X:X,"&lt;&gt;Error")+SUMIFS('4. Equipment Costs'!R:R,'4. Equipment Costs'!C:C,B75,'4. Equipment Costs'!B:B,$F$20,'4. Equipment Costs'!S:S,"&lt;&gt;Error")+SUMIFS('5. Subcontracting Costs'!R:R,'5. Subcontracting Costs'!C:C,B75,'5. Subcontracting Costs'!B:B,$F$20,'5. Subcontracting Costs'!S:S,"&lt;&gt;Error")</f>
        <v>0</v>
      </c>
      <c r="G75" s="343"/>
      <c r="H75" s="344"/>
      <c r="I75" s="342">
        <f>SUMIFS('1. Staff Costs'!P:P,'1. Staff Costs'!C:C,B75,'1. Staff Costs'!B:B,$I$20,'1. Staff Costs'!Q:Q,"&lt;&gt;Error")+SUMIFS('2-3-6. Travel Costs&amp;CoS&amp;EC'!W:W,'2-3-6. Travel Costs&amp;CoS&amp;EC'!C:C,B75,'2-3-6. Travel Costs&amp;CoS&amp;EC'!B:B,$I$20,'2-3-6. Travel Costs&amp;CoS&amp;EC'!X:X,"&lt;&gt;Error")+SUMIFS('4. Equipment Costs'!R:R,'4. Equipment Costs'!C:C,B75,'4. Equipment Costs'!B:B,$I$20,'4. Equipment Costs'!S:S,"&lt;&gt;Error")+SUMIFS('5. Subcontracting Costs'!R:R,'5. Subcontracting Costs'!C:C,B75,'5. Subcontracting Costs'!B:B,$I$20,'5. Subcontracting Costs'!S:S,"&lt;&gt;Error")</f>
        <v>0</v>
      </c>
      <c r="J75" s="343"/>
      <c r="K75" s="344"/>
      <c r="L75" s="342">
        <f>SUMIFS('1. Staff Costs'!P:P,'1. Staff Costs'!C:C,B75,'1. Staff Costs'!B:B,$L$20,'1. Staff Costs'!Q:Q,"&lt;&gt;Error")+SUMIFS('2-3-6. Travel Costs&amp;CoS&amp;EC'!W:W,'2-3-6. Travel Costs&amp;CoS&amp;EC'!C:C,B75,'2-3-6. Travel Costs&amp;CoS&amp;EC'!B:B,$L$20,'2-3-6. Travel Costs&amp;CoS&amp;EC'!X:X,"&lt;&gt;Error")+SUMIFS('4. Equipment Costs'!R:R,'4. Equipment Costs'!C:C,B75,'4. Equipment Costs'!B:B,$L$20,'4. Equipment Costs'!S:S,"&lt;&gt;Error")+SUMIFS('5. Subcontracting Costs'!R:R,'5. Subcontracting Costs'!C:C,B75,'5. Subcontracting Costs'!B:B,$L$20,'5. Subcontracting Costs'!S:S,"&lt;&gt;Error")</f>
        <v>0</v>
      </c>
      <c r="M75" s="343"/>
      <c r="N75" s="344"/>
      <c r="O75" s="342">
        <f>SUMIFS('1. Staff Costs'!P:P,'1. Staff Costs'!C:C,B75,'1. Staff Costs'!B:B,$O$20,'1. Staff Costs'!Q:Q,"&lt;&gt;Error")+SUMIFS('2-3-6. Travel Costs&amp;CoS&amp;EC'!W:W,'2-3-6. Travel Costs&amp;CoS&amp;EC'!C:C,B75,'2-3-6. Travel Costs&amp;CoS&amp;EC'!B:B,$O$20,'2-3-6. Travel Costs&amp;CoS&amp;EC'!X:X,"&lt;&gt;Error")+SUMIFS('4. Equipment Costs'!R:R,'4. Equipment Costs'!C:C,B75,'4. Equipment Costs'!B:B,$O$20,'4. Equipment Costs'!S:S,"&lt;&gt;Error")+SUMIFS('5. Subcontracting Costs'!R:R,'5. Subcontracting Costs'!C:C,B75,'5. Subcontracting Costs'!B:B,$O$20,'5. Subcontracting Costs'!S:S,"&lt;&gt;Error")</f>
        <v>0</v>
      </c>
      <c r="P75" s="343"/>
      <c r="Q75" s="344"/>
      <c r="R75" s="342">
        <f>SUMIFS('1. Staff Costs'!P:P,'1. Staff Costs'!C:C,B75,'1. Staff Costs'!B:B,$R$20,'1. Staff Costs'!Q:Q,"&lt;&gt;Error")+SUMIFS('2-3-6. Travel Costs&amp;CoS&amp;EC'!W:W,'2-3-6. Travel Costs&amp;CoS&amp;EC'!C:C,B75,'2-3-6. Travel Costs&amp;CoS&amp;EC'!B:B,$R$20,'2-3-6. Travel Costs&amp;CoS&amp;EC'!X:X,"&lt;&gt;Error")+SUMIFS('4. Equipment Costs'!R:R,'4. Equipment Costs'!C:C,B75,'4. Equipment Costs'!B:B,$R$20,'4. Equipment Costs'!S:S,"&lt;&gt;Error")+SUMIFS('5. Subcontracting Costs'!R:R,'5. Subcontracting Costs'!C:C,B75,'5. Subcontracting Costs'!B:B,$R$20,'5. Subcontracting Costs'!S:S,"&lt;&gt;Error")</f>
        <v>0</v>
      </c>
      <c r="S75" s="343"/>
      <c r="T75" s="344"/>
      <c r="U75" s="185">
        <f t="shared" si="4"/>
        <v>0</v>
      </c>
    </row>
    <row r="76" spans="2:21" x14ac:dyDescent="0.4">
      <c r="B76" s="327" t="s">
        <v>376</v>
      </c>
      <c r="C76" s="328"/>
      <c r="D76" s="328"/>
      <c r="E76" s="329"/>
      <c r="F76" s="346">
        <f>SUM(F21:H75)</f>
        <v>7361.16</v>
      </c>
      <c r="G76" s="347"/>
      <c r="H76" s="348"/>
      <c r="I76" s="346">
        <f t="shared" ref="I76" si="5">SUM(I21:K75)</f>
        <v>161490</v>
      </c>
      <c r="J76" s="347"/>
      <c r="K76" s="348"/>
      <c r="L76" s="346">
        <f t="shared" ref="L76" si="6">SUM(L21:N75)</f>
        <v>7600</v>
      </c>
      <c r="M76" s="347"/>
      <c r="N76" s="348"/>
      <c r="O76" s="346">
        <f t="shared" ref="O76" si="7">SUM(O21:Q75)</f>
        <v>21261</v>
      </c>
      <c r="P76" s="347"/>
      <c r="Q76" s="348"/>
      <c r="R76" s="346">
        <f t="shared" ref="R76" si="8">SUM(R21:T75)</f>
        <v>75760</v>
      </c>
      <c r="S76" s="347"/>
      <c r="T76" s="348"/>
      <c r="U76" s="186">
        <f>SUM(U21:U75)</f>
        <v>273472.15999999997</v>
      </c>
    </row>
  </sheetData>
  <sheetProtection algorithmName="SHA-512" hashValue="yc0HsvrnqpzzzgYFXDhQpqTosKraIFvW7ErAUHvUzpdHs9caZKjVxOoG9z7dYRBg2zhkG5l9LTDFyhI5yYdcUQ==" saltValue="R7mNhNJRIpE931NrAbD8lg==" spinCount="100000" sheet="1" selectLockedCells="1" selectUnlockedCells="1"/>
  <dataConsolidate/>
  <mergeCells count="360">
    <mergeCell ref="O76:Q76"/>
    <mergeCell ref="L76:N76"/>
    <mergeCell ref="I76:K76"/>
    <mergeCell ref="F76:H76"/>
    <mergeCell ref="R72:T72"/>
    <mergeCell ref="R73:T73"/>
    <mergeCell ref="R74:T74"/>
    <mergeCell ref="R75:T75"/>
    <mergeCell ref="R76:T76"/>
    <mergeCell ref="O73:Q73"/>
    <mergeCell ref="O74:Q74"/>
    <mergeCell ref="L75:N75"/>
    <mergeCell ref="R67:T67"/>
    <mergeCell ref="R68:T68"/>
    <mergeCell ref="R69:T69"/>
    <mergeCell ref="R70:T70"/>
    <mergeCell ref="R71:T71"/>
    <mergeCell ref="R62:T62"/>
    <mergeCell ref="R63:T63"/>
    <mergeCell ref="R64:T64"/>
    <mergeCell ref="R65:T65"/>
    <mergeCell ref="R66:T66"/>
    <mergeCell ref="R57:T57"/>
    <mergeCell ref="R58:T58"/>
    <mergeCell ref="R59:T59"/>
    <mergeCell ref="R60:T60"/>
    <mergeCell ref="R61:T61"/>
    <mergeCell ref="R52:T52"/>
    <mergeCell ref="R53:T53"/>
    <mergeCell ref="R54:T54"/>
    <mergeCell ref="R55:T55"/>
    <mergeCell ref="R56:T56"/>
    <mergeCell ref="R47:T47"/>
    <mergeCell ref="R48:T48"/>
    <mergeCell ref="R49:T49"/>
    <mergeCell ref="R50:T50"/>
    <mergeCell ref="R51:T51"/>
    <mergeCell ref="R42:T42"/>
    <mergeCell ref="R43:T43"/>
    <mergeCell ref="R44:T44"/>
    <mergeCell ref="R45:T45"/>
    <mergeCell ref="R46:T46"/>
    <mergeCell ref="R37:T37"/>
    <mergeCell ref="R38:T38"/>
    <mergeCell ref="R39:T39"/>
    <mergeCell ref="R40:T40"/>
    <mergeCell ref="R41:T41"/>
    <mergeCell ref="O75:Q75"/>
    <mergeCell ref="R22:T22"/>
    <mergeCell ref="R23:T23"/>
    <mergeCell ref="R24:T24"/>
    <mergeCell ref="R25:T25"/>
    <mergeCell ref="R26:T26"/>
    <mergeCell ref="R27:T27"/>
    <mergeCell ref="R28:T28"/>
    <mergeCell ref="R29:T29"/>
    <mergeCell ref="R30:T30"/>
    <mergeCell ref="R31:T31"/>
    <mergeCell ref="R32:T32"/>
    <mergeCell ref="R33:T33"/>
    <mergeCell ref="R34:T34"/>
    <mergeCell ref="R35:T35"/>
    <mergeCell ref="R36:T36"/>
    <mergeCell ref="O70:Q70"/>
    <mergeCell ref="O71:Q71"/>
    <mergeCell ref="O72:Q72"/>
    <mergeCell ref="O65:Q65"/>
    <mergeCell ref="O66:Q66"/>
    <mergeCell ref="O67:Q67"/>
    <mergeCell ref="O68:Q68"/>
    <mergeCell ref="O69:Q69"/>
    <mergeCell ref="O60:Q60"/>
    <mergeCell ref="O61:Q61"/>
    <mergeCell ref="O62:Q62"/>
    <mergeCell ref="O63:Q63"/>
    <mergeCell ref="O64:Q64"/>
    <mergeCell ref="O55:Q55"/>
    <mergeCell ref="O56:Q56"/>
    <mergeCell ref="O57:Q57"/>
    <mergeCell ref="O58:Q58"/>
    <mergeCell ref="O59:Q59"/>
    <mergeCell ref="O50:Q50"/>
    <mergeCell ref="O51:Q51"/>
    <mergeCell ref="O52:Q52"/>
    <mergeCell ref="O53:Q53"/>
    <mergeCell ref="O54:Q54"/>
    <mergeCell ref="O45:Q45"/>
    <mergeCell ref="O46:Q46"/>
    <mergeCell ref="O47:Q47"/>
    <mergeCell ref="O48:Q48"/>
    <mergeCell ref="O49:Q49"/>
    <mergeCell ref="O40:Q40"/>
    <mergeCell ref="O41:Q41"/>
    <mergeCell ref="O42:Q42"/>
    <mergeCell ref="O43:Q43"/>
    <mergeCell ref="O44:Q44"/>
    <mergeCell ref="O35:Q35"/>
    <mergeCell ref="O36:Q36"/>
    <mergeCell ref="O37:Q37"/>
    <mergeCell ref="O38:Q38"/>
    <mergeCell ref="O39:Q39"/>
    <mergeCell ref="O30:Q30"/>
    <mergeCell ref="O31:Q31"/>
    <mergeCell ref="O32:Q32"/>
    <mergeCell ref="O33:Q33"/>
    <mergeCell ref="O34:Q34"/>
    <mergeCell ref="O25:Q25"/>
    <mergeCell ref="O26:Q26"/>
    <mergeCell ref="O27:Q27"/>
    <mergeCell ref="O28:Q28"/>
    <mergeCell ref="O29:Q29"/>
    <mergeCell ref="L71:N71"/>
    <mergeCell ref="L72:N72"/>
    <mergeCell ref="L73:N73"/>
    <mergeCell ref="L74:N74"/>
    <mergeCell ref="L66:N66"/>
    <mergeCell ref="L67:N67"/>
    <mergeCell ref="L68:N68"/>
    <mergeCell ref="L69:N69"/>
    <mergeCell ref="L70:N70"/>
    <mergeCell ref="L61:N61"/>
    <mergeCell ref="L62:N62"/>
    <mergeCell ref="L63:N63"/>
    <mergeCell ref="L64:N64"/>
    <mergeCell ref="L65:N65"/>
    <mergeCell ref="L56:N56"/>
    <mergeCell ref="L57:N57"/>
    <mergeCell ref="L58:N58"/>
    <mergeCell ref="L59:N59"/>
    <mergeCell ref="L60:N60"/>
    <mergeCell ref="L52:N52"/>
    <mergeCell ref="L53:N53"/>
    <mergeCell ref="L54:N54"/>
    <mergeCell ref="L55:N55"/>
    <mergeCell ref="L46:N46"/>
    <mergeCell ref="L47:N47"/>
    <mergeCell ref="L48:N48"/>
    <mergeCell ref="L49:N49"/>
    <mergeCell ref="L50:N50"/>
    <mergeCell ref="L43:N43"/>
    <mergeCell ref="L44:N44"/>
    <mergeCell ref="L45:N45"/>
    <mergeCell ref="L36:N36"/>
    <mergeCell ref="L37:N37"/>
    <mergeCell ref="L38:N38"/>
    <mergeCell ref="L39:N39"/>
    <mergeCell ref="L40:N40"/>
    <mergeCell ref="L51:N51"/>
    <mergeCell ref="L34:N34"/>
    <mergeCell ref="L35:N35"/>
    <mergeCell ref="L26:N26"/>
    <mergeCell ref="L27:N27"/>
    <mergeCell ref="L28:N28"/>
    <mergeCell ref="L29:N29"/>
    <mergeCell ref="L30:N30"/>
    <mergeCell ref="L41:N41"/>
    <mergeCell ref="L42:N42"/>
    <mergeCell ref="I71:K71"/>
    <mergeCell ref="I72:K72"/>
    <mergeCell ref="I73:K73"/>
    <mergeCell ref="I74:K74"/>
    <mergeCell ref="I75:K75"/>
    <mergeCell ref="I66:K66"/>
    <mergeCell ref="I67:K67"/>
    <mergeCell ref="I68:K68"/>
    <mergeCell ref="I69:K69"/>
    <mergeCell ref="I70:K70"/>
    <mergeCell ref="I61:K61"/>
    <mergeCell ref="I62:K62"/>
    <mergeCell ref="I63:K63"/>
    <mergeCell ref="I64:K64"/>
    <mergeCell ref="I65:K65"/>
    <mergeCell ref="I56:K56"/>
    <mergeCell ref="I57:K57"/>
    <mergeCell ref="I58:K58"/>
    <mergeCell ref="I59:K59"/>
    <mergeCell ref="I60:K60"/>
    <mergeCell ref="I51:K51"/>
    <mergeCell ref="I52:K52"/>
    <mergeCell ref="I53:K53"/>
    <mergeCell ref="I54:K54"/>
    <mergeCell ref="I55:K55"/>
    <mergeCell ref="I46:K46"/>
    <mergeCell ref="I47:K47"/>
    <mergeCell ref="I48:K48"/>
    <mergeCell ref="I49:K49"/>
    <mergeCell ref="I50:K50"/>
    <mergeCell ref="I41:K41"/>
    <mergeCell ref="I42:K42"/>
    <mergeCell ref="I43:K43"/>
    <mergeCell ref="I44:K44"/>
    <mergeCell ref="I45:K45"/>
    <mergeCell ref="I36:K36"/>
    <mergeCell ref="I37:K37"/>
    <mergeCell ref="I38:K38"/>
    <mergeCell ref="I39:K39"/>
    <mergeCell ref="I40:K40"/>
    <mergeCell ref="F71:H71"/>
    <mergeCell ref="F72:H72"/>
    <mergeCell ref="F73:H73"/>
    <mergeCell ref="F74:H74"/>
    <mergeCell ref="F75:H75"/>
    <mergeCell ref="F66:H66"/>
    <mergeCell ref="F67:H67"/>
    <mergeCell ref="F68:H68"/>
    <mergeCell ref="F69:H69"/>
    <mergeCell ref="F70:H70"/>
    <mergeCell ref="F61:H61"/>
    <mergeCell ref="F62:H62"/>
    <mergeCell ref="F63:H63"/>
    <mergeCell ref="F64:H64"/>
    <mergeCell ref="F65:H65"/>
    <mergeCell ref="F56:H56"/>
    <mergeCell ref="F57:H57"/>
    <mergeCell ref="F58:H58"/>
    <mergeCell ref="F59:H59"/>
    <mergeCell ref="F60:H60"/>
    <mergeCell ref="F51:H51"/>
    <mergeCell ref="F52:H52"/>
    <mergeCell ref="F53:H53"/>
    <mergeCell ref="F54:H54"/>
    <mergeCell ref="F55:H55"/>
    <mergeCell ref="F46:H46"/>
    <mergeCell ref="F47:H47"/>
    <mergeCell ref="F48:H48"/>
    <mergeCell ref="F49:H49"/>
    <mergeCell ref="F50:H50"/>
    <mergeCell ref="F41:H41"/>
    <mergeCell ref="F42:H42"/>
    <mergeCell ref="F43:H43"/>
    <mergeCell ref="F44:H44"/>
    <mergeCell ref="F45:H45"/>
    <mergeCell ref="F36:H36"/>
    <mergeCell ref="F37:H37"/>
    <mergeCell ref="F38:H38"/>
    <mergeCell ref="F39:H39"/>
    <mergeCell ref="F40:H40"/>
    <mergeCell ref="O24:Q24"/>
    <mergeCell ref="F31:H31"/>
    <mergeCell ref="F32:H32"/>
    <mergeCell ref="F33:H33"/>
    <mergeCell ref="F34:H34"/>
    <mergeCell ref="F35:H35"/>
    <mergeCell ref="F26:H26"/>
    <mergeCell ref="F27:H27"/>
    <mergeCell ref="F28:H28"/>
    <mergeCell ref="F29:H29"/>
    <mergeCell ref="F30:H30"/>
    <mergeCell ref="I31:K31"/>
    <mergeCell ref="I32:K32"/>
    <mergeCell ref="I33:K33"/>
    <mergeCell ref="I34:K34"/>
    <mergeCell ref="I35:K35"/>
    <mergeCell ref="I26:K26"/>
    <mergeCell ref="I27:K27"/>
    <mergeCell ref="I28:K28"/>
    <mergeCell ref="I29:K29"/>
    <mergeCell ref="I30:K30"/>
    <mergeCell ref="L31:N31"/>
    <mergeCell ref="L32:N32"/>
    <mergeCell ref="L33:N33"/>
    <mergeCell ref="B13:B14"/>
    <mergeCell ref="F21:H21"/>
    <mergeCell ref="I21:K21"/>
    <mergeCell ref="L21:N21"/>
    <mergeCell ref="O21:Q21"/>
    <mergeCell ref="D71:E71"/>
    <mergeCell ref="D72:E72"/>
    <mergeCell ref="D73:E73"/>
    <mergeCell ref="D74:E74"/>
    <mergeCell ref="D56:E56"/>
    <mergeCell ref="D57:E57"/>
    <mergeCell ref="D58:E58"/>
    <mergeCell ref="D59:E59"/>
    <mergeCell ref="D60:E60"/>
    <mergeCell ref="D51:E51"/>
    <mergeCell ref="D52:E52"/>
    <mergeCell ref="D53:E53"/>
    <mergeCell ref="D54:E54"/>
    <mergeCell ref="D55:E55"/>
    <mergeCell ref="D46:E46"/>
    <mergeCell ref="D47:E47"/>
    <mergeCell ref="D48:E48"/>
    <mergeCell ref="D49:E49"/>
    <mergeCell ref="D50:E50"/>
    <mergeCell ref="D44:E44"/>
    <mergeCell ref="D45:E45"/>
    <mergeCell ref="D36:E36"/>
    <mergeCell ref="D37:E37"/>
    <mergeCell ref="D38:E38"/>
    <mergeCell ref="D39:E39"/>
    <mergeCell ref="D40:E40"/>
    <mergeCell ref="D75:E75"/>
    <mergeCell ref="D66:E66"/>
    <mergeCell ref="D67:E67"/>
    <mergeCell ref="D68:E68"/>
    <mergeCell ref="D69:E69"/>
    <mergeCell ref="D70:E70"/>
    <mergeCell ref="D61:E61"/>
    <mergeCell ref="D62:E62"/>
    <mergeCell ref="D63:E63"/>
    <mergeCell ref="D64:E64"/>
    <mergeCell ref="D65:E65"/>
    <mergeCell ref="D35:E35"/>
    <mergeCell ref="D26:E26"/>
    <mergeCell ref="D27:E27"/>
    <mergeCell ref="D28:E28"/>
    <mergeCell ref="D29:E29"/>
    <mergeCell ref="D30:E30"/>
    <mergeCell ref="D41:E41"/>
    <mergeCell ref="D42:E42"/>
    <mergeCell ref="D43:E43"/>
    <mergeCell ref="R20:T20"/>
    <mergeCell ref="O20:Q20"/>
    <mergeCell ref="L20:N20"/>
    <mergeCell ref="I20:K20"/>
    <mergeCell ref="F20:H20"/>
    <mergeCell ref="D31:E31"/>
    <mergeCell ref="D32:E32"/>
    <mergeCell ref="D33:E33"/>
    <mergeCell ref="D34:E34"/>
    <mergeCell ref="R21:T21"/>
    <mergeCell ref="F22:H22"/>
    <mergeCell ref="F23:H23"/>
    <mergeCell ref="F24:H24"/>
    <mergeCell ref="F25:H25"/>
    <mergeCell ref="I22:K22"/>
    <mergeCell ref="I23:K23"/>
    <mergeCell ref="I24:K24"/>
    <mergeCell ref="I25:K25"/>
    <mergeCell ref="L22:N22"/>
    <mergeCell ref="L23:N23"/>
    <mergeCell ref="L24:N24"/>
    <mergeCell ref="L25:N25"/>
    <mergeCell ref="O22:Q22"/>
    <mergeCell ref="O23:Q23"/>
    <mergeCell ref="B76:E76"/>
    <mergeCell ref="B2:U2"/>
    <mergeCell ref="B12:U12"/>
    <mergeCell ref="B19:U19"/>
    <mergeCell ref="C3:E3"/>
    <mergeCell ref="U3:U4"/>
    <mergeCell ref="R13:T13"/>
    <mergeCell ref="O13:Q13"/>
    <mergeCell ref="L13:N13"/>
    <mergeCell ref="I13:K13"/>
    <mergeCell ref="F13:H13"/>
    <mergeCell ref="C13:E13"/>
    <mergeCell ref="U13:U14"/>
    <mergeCell ref="R3:T3"/>
    <mergeCell ref="O3:Q3"/>
    <mergeCell ref="L3:N3"/>
    <mergeCell ref="I3:K3"/>
    <mergeCell ref="F3:H3"/>
    <mergeCell ref="D21:E21"/>
    <mergeCell ref="D22:E22"/>
    <mergeCell ref="D23:E23"/>
    <mergeCell ref="D24:E24"/>
    <mergeCell ref="D25:E25"/>
    <mergeCell ref="D20:E20"/>
  </mergeCells>
  <conditionalFormatting sqref="B2:K2">
    <cfRule type="cellIs" dxfId="33" priority="155" stopIfTrue="1" operator="equal">
      <formula>"&gt; 30 %"</formula>
    </cfRule>
  </conditionalFormatting>
  <conditionalFormatting sqref="C4:E4 C3">
    <cfRule type="cellIs" dxfId="32" priority="68" stopIfTrue="1" operator="equal">
      <formula>"ERROR"</formula>
    </cfRule>
  </conditionalFormatting>
  <conditionalFormatting sqref="L3">
    <cfRule type="cellIs" dxfId="31" priority="66" stopIfTrue="1" operator="equal">
      <formula>"ERROR"</formula>
    </cfRule>
  </conditionalFormatting>
  <conditionalFormatting sqref="F3 I3">
    <cfRule type="cellIs" dxfId="30" priority="67" stopIfTrue="1" operator="equal">
      <formula>"ERROR"</formula>
    </cfRule>
  </conditionalFormatting>
  <conditionalFormatting sqref="O3 R3">
    <cfRule type="cellIs" dxfId="29" priority="65" stopIfTrue="1" operator="equal">
      <formula>"ERROR"</formula>
    </cfRule>
  </conditionalFormatting>
  <conditionalFormatting sqref="U3">
    <cfRule type="cellIs" dxfId="28" priority="64" stopIfTrue="1" operator="equal">
      <formula>"ERROR"</formula>
    </cfRule>
  </conditionalFormatting>
  <conditionalFormatting sqref="B12:K12">
    <cfRule type="cellIs" dxfId="27" priority="49" stopIfTrue="1" operator="equal">
      <formula>"&gt; 30 %"</formula>
    </cfRule>
  </conditionalFormatting>
  <conditionalFormatting sqref="U13">
    <cfRule type="cellIs" dxfId="26" priority="50" stopIfTrue="1" operator="equal">
      <formula>"ERROR"</formula>
    </cfRule>
  </conditionalFormatting>
  <conditionalFormatting sqref="B10">
    <cfRule type="cellIs" dxfId="25" priority="45" stopIfTrue="1" operator="equal">
      <formula>"ERROR"</formula>
    </cfRule>
  </conditionalFormatting>
  <conditionalFormatting sqref="B17">
    <cfRule type="cellIs" dxfId="24" priority="44" stopIfTrue="1" operator="equal">
      <formula>"ERROR"</formula>
    </cfRule>
  </conditionalFormatting>
  <conditionalFormatting sqref="C13">
    <cfRule type="cellIs" dxfId="23" priority="35" stopIfTrue="1" operator="equal">
      <formula>"ERROR"</formula>
    </cfRule>
  </conditionalFormatting>
  <conditionalFormatting sqref="L13">
    <cfRule type="cellIs" dxfId="22" priority="33" stopIfTrue="1" operator="equal">
      <formula>"ERROR"</formula>
    </cfRule>
  </conditionalFormatting>
  <conditionalFormatting sqref="F13 I13">
    <cfRule type="cellIs" dxfId="21" priority="34" stopIfTrue="1" operator="equal">
      <formula>"ERROR"</formula>
    </cfRule>
  </conditionalFormatting>
  <conditionalFormatting sqref="O13">
    <cfRule type="cellIs" dxfId="20" priority="32" stopIfTrue="1" operator="equal">
      <formula>"ERROR"</formula>
    </cfRule>
  </conditionalFormatting>
  <conditionalFormatting sqref="B19:K19">
    <cfRule type="cellIs" dxfId="19" priority="30" stopIfTrue="1" operator="equal">
      <formula>"&gt; 30 %"</formula>
    </cfRule>
  </conditionalFormatting>
  <conditionalFormatting sqref="U20">
    <cfRule type="cellIs" dxfId="18" priority="27" stopIfTrue="1" operator="equal">
      <formula>"ERROR"</formula>
    </cfRule>
  </conditionalFormatting>
  <conditionalFormatting sqref="R13">
    <cfRule type="cellIs" dxfId="17" priority="24" stopIfTrue="1" operator="equal">
      <formula>"ERROR"</formula>
    </cfRule>
  </conditionalFormatting>
  <conditionalFormatting sqref="F4:H4">
    <cfRule type="cellIs" dxfId="16" priority="11" stopIfTrue="1" operator="equal">
      <formula>"ERROR"</formula>
    </cfRule>
  </conditionalFormatting>
  <conditionalFormatting sqref="I4:K4">
    <cfRule type="cellIs" dxfId="15" priority="10" stopIfTrue="1" operator="equal">
      <formula>"ERROR"</formula>
    </cfRule>
  </conditionalFormatting>
  <conditionalFormatting sqref="L4:N4">
    <cfRule type="cellIs" dxfId="14" priority="9" stopIfTrue="1" operator="equal">
      <formula>"ERROR"</formula>
    </cfRule>
  </conditionalFormatting>
  <conditionalFormatting sqref="O4:Q4">
    <cfRule type="cellIs" dxfId="13" priority="8" stopIfTrue="1" operator="equal">
      <formula>"ERROR"</formula>
    </cfRule>
  </conditionalFormatting>
  <conditionalFormatting sqref="R4:T4">
    <cfRule type="cellIs" dxfId="12" priority="7" stopIfTrue="1" operator="equal">
      <formula>"ERROR"</formula>
    </cfRule>
  </conditionalFormatting>
  <conditionalFormatting sqref="C14:E14">
    <cfRule type="cellIs" dxfId="11" priority="6" stopIfTrue="1" operator="equal">
      <formula>"ERROR"</formula>
    </cfRule>
  </conditionalFormatting>
  <conditionalFormatting sqref="F14:H14">
    <cfRule type="cellIs" dxfId="10" priority="5" stopIfTrue="1" operator="equal">
      <formula>"ERROR"</formula>
    </cfRule>
  </conditionalFormatting>
  <conditionalFormatting sqref="I14:K14">
    <cfRule type="cellIs" dxfId="9" priority="4" stopIfTrue="1" operator="equal">
      <formula>"ERROR"</formula>
    </cfRule>
  </conditionalFormatting>
  <conditionalFormatting sqref="L14:N14">
    <cfRule type="cellIs" dxfId="8" priority="3" stopIfTrue="1" operator="equal">
      <formula>"ERROR"</formula>
    </cfRule>
  </conditionalFormatting>
  <conditionalFormatting sqref="O14:Q14">
    <cfRule type="cellIs" dxfId="7" priority="2" stopIfTrue="1" operator="equal">
      <formula>"ERROR"</formula>
    </cfRule>
  </conditionalFormatting>
  <conditionalFormatting sqref="R14:T14">
    <cfRule type="cellIs" dxfId="6"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33" orientation="landscape" r:id="rId1"/>
  <headerFooter>
    <oddFooter xml:space="preserve">&amp;CPage &amp;P of 3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pageSetUpPr fitToPage="1"/>
  </sheetPr>
  <dimension ref="B1:M120"/>
  <sheetViews>
    <sheetView showGridLines="0" topLeftCell="A38" zoomScale="60" zoomScaleNormal="60" zoomScaleSheetLayoutView="55" workbookViewId="0">
      <selection activeCell="B2" sqref="B2:M2"/>
    </sheetView>
  </sheetViews>
  <sheetFormatPr baseColWidth="10" defaultColWidth="9.1796875" defaultRowHeight="18" x14ac:dyDescent="0.4"/>
  <cols>
    <col min="1" max="1" width="1.7265625" style="5" customWidth="1"/>
    <col min="2" max="2" width="17.26953125" style="5" bestFit="1" customWidth="1"/>
    <col min="3" max="13" width="20.7265625" style="5" customWidth="1"/>
    <col min="14" max="16384" width="9.1796875" style="5"/>
  </cols>
  <sheetData>
    <row r="1" spans="2:13" ht="5.15" customHeight="1" x14ac:dyDescent="0.4"/>
    <row r="2" spans="2:13" ht="30" customHeight="1" x14ac:dyDescent="0.4">
      <c r="B2" s="330" t="s">
        <v>214</v>
      </c>
      <c r="C2" s="330"/>
      <c r="D2" s="330"/>
      <c r="E2" s="330"/>
      <c r="F2" s="330"/>
      <c r="G2" s="330"/>
      <c r="H2" s="330"/>
      <c r="I2" s="330"/>
      <c r="J2" s="330"/>
      <c r="K2" s="330"/>
      <c r="L2" s="330"/>
      <c r="M2" s="330"/>
    </row>
    <row r="3" spans="2:13" ht="30" customHeight="1" x14ac:dyDescent="0.4">
      <c r="B3" s="351" t="s">
        <v>179</v>
      </c>
      <c r="C3" s="351" t="s">
        <v>475</v>
      </c>
      <c r="D3" s="233" t="s">
        <v>127</v>
      </c>
      <c r="E3" s="234"/>
      <c r="F3" s="233" t="s">
        <v>126</v>
      </c>
      <c r="G3" s="234"/>
      <c r="H3" s="233" t="s">
        <v>194</v>
      </c>
      <c r="I3" s="234"/>
      <c r="J3" s="338" t="s">
        <v>193</v>
      </c>
      <c r="K3" s="339"/>
      <c r="L3" s="334" t="s">
        <v>217</v>
      </c>
      <c r="M3" s="334" t="s">
        <v>218</v>
      </c>
    </row>
    <row r="4" spans="2:13" ht="36" x14ac:dyDescent="0.4">
      <c r="B4" s="352"/>
      <c r="C4" s="352"/>
      <c r="D4" s="209" t="s">
        <v>217</v>
      </c>
      <c r="E4" s="209" t="s">
        <v>216</v>
      </c>
      <c r="F4" s="209" t="s">
        <v>217</v>
      </c>
      <c r="G4" s="209" t="s">
        <v>216</v>
      </c>
      <c r="H4" s="209" t="s">
        <v>217</v>
      </c>
      <c r="I4" s="209" t="s">
        <v>216</v>
      </c>
      <c r="J4" s="209" t="s">
        <v>217</v>
      </c>
      <c r="K4" s="209" t="s">
        <v>216</v>
      </c>
      <c r="L4" s="335"/>
      <c r="M4" s="335"/>
    </row>
    <row r="5" spans="2:13" x14ac:dyDescent="0.4">
      <c r="B5" s="208" t="s">
        <v>6</v>
      </c>
      <c r="C5" s="208" t="str">
        <f>IF('Final financial statement'!E23=0,"",'Final financial statement'!E23)</f>
        <v>Coord</v>
      </c>
      <c r="D5" s="182">
        <f>SUMIFS('1. Staff Costs'!P:P,'1. Staff Costs'!C:C,B5,'1. Staff Costs'!I:I,$D$3,'1. Staff Costs'!Q:Q,"&lt;&gt;Error")</f>
        <v>69720</v>
      </c>
      <c r="E5" s="182">
        <f>SUMIFS('1. Staff Costs'!R:R,'1. Staff Costs'!C:C,B5,'1. Staff Costs'!I:I,$D$3,'1. Staff Costs'!Q:Q,"&lt;&gt;Error")</f>
        <v>249</v>
      </c>
      <c r="F5" s="182">
        <f>SUMIFS('1. Staff Costs'!P:P,'1. Staff Costs'!C:C,B5,'1. Staff Costs'!I:I,$F$3,'1. Staff Costs'!Q:Q,"&lt;&gt;Error")</f>
        <v>8988</v>
      </c>
      <c r="G5" s="182">
        <f>SUMIFS('1. Staff Costs'!R:R,'1. Staff Costs'!C:C,B5,'1. Staff Costs'!I:I,$F$3,'1. Staff Costs'!Q:Q,"&lt;&gt;Error")</f>
        <v>42</v>
      </c>
      <c r="H5" s="182">
        <f>SUMIFS('1. Staff Costs'!P:P,'1. Staff Costs'!C:C,B5,'1. Staff Costs'!I:I,$H$3,'1. Staff Costs'!Q:Q,"&lt;&gt;Error")</f>
        <v>0</v>
      </c>
      <c r="I5" s="182">
        <f>SUMIFS('1. Staff Costs'!R:R,'1. Staff Costs'!C:C,B5,'1. Staff Costs'!I:I,$H$3,'1. Staff Costs'!Q:Q,"&lt;&gt;Error")</f>
        <v>0</v>
      </c>
      <c r="J5" s="182">
        <f>SUMIFS('1. Staff Costs'!P:P,'1. Staff Costs'!C:C,B5,'1. Staff Costs'!I:I,$J$3,'1. Staff Costs'!Q:Q,"&lt;&gt;Error")</f>
        <v>0</v>
      </c>
      <c r="K5" s="182">
        <f>SUMIFS('1. Staff Costs'!R:R,'1. Staff Costs'!C:C,B5,'1. Staff Costs'!I:I,$J$3,'1. Staff Costs'!Q:Q,"&lt;&gt;Error")</f>
        <v>0</v>
      </c>
      <c r="L5" s="183">
        <f>D5+F5+H5+J5</f>
        <v>78708</v>
      </c>
      <c r="M5" s="183">
        <f>E5+G5+I5+K5</f>
        <v>291</v>
      </c>
    </row>
    <row r="6" spans="2:13" x14ac:dyDescent="0.4">
      <c r="B6" s="208" t="s">
        <v>7</v>
      </c>
      <c r="C6" s="208" t="str">
        <f>IF('Final financial statement'!E24=0,"",'Final financial statement'!E24)</f>
        <v>Partner</v>
      </c>
      <c r="D6" s="182">
        <f>SUMIFS('1. Staff Costs'!P:P,'1. Staff Costs'!C:C,B6,'1. Staff Costs'!I:I,$D$3,'1. Staff Costs'!Q:Q,"&lt;&gt;Error")</f>
        <v>3240</v>
      </c>
      <c r="E6" s="182">
        <f>SUMIFS('1. Staff Costs'!R:R,'1. Staff Costs'!C:C,B6,'1. Staff Costs'!I:I,$D$3,'1. Staff Costs'!Q:Q,"&lt;&gt;Error")</f>
        <v>30</v>
      </c>
      <c r="F6" s="182">
        <f>SUMIFS('1. Staff Costs'!P:P,'1. Staff Costs'!C:C,B6,'1. Staff Costs'!I:I,$F$3,'1. Staff Costs'!Q:Q,"&lt;&gt;Error")</f>
        <v>11920</v>
      </c>
      <c r="G6" s="182">
        <f>SUMIFS('1. Staff Costs'!R:R,'1. Staff Costs'!C:C,B6,'1. Staff Costs'!I:I,$F$3,'1. Staff Costs'!Q:Q,"&lt;&gt;Error")</f>
        <v>149</v>
      </c>
      <c r="H6" s="182">
        <f>SUMIFS('1. Staff Costs'!P:P,'1. Staff Costs'!C:C,B6,'1. Staff Costs'!I:I,$H$3,'1. Staff Costs'!Q:Q,"&lt;&gt;Error")</f>
        <v>0</v>
      </c>
      <c r="I6" s="182">
        <f>SUMIFS('1. Staff Costs'!R:R,'1. Staff Costs'!C:C,B6,'1. Staff Costs'!I:I,$H$3,'1. Staff Costs'!Q:Q,"&lt;&gt;Error")</f>
        <v>0</v>
      </c>
      <c r="J6" s="182">
        <f>SUMIFS('1. Staff Costs'!P:P,'1. Staff Costs'!C:C,B6,'1. Staff Costs'!I:I,$J$3,'1. Staff Costs'!Q:Q,"&lt;&gt;Error")</f>
        <v>0</v>
      </c>
      <c r="K6" s="182">
        <f>SUMIFS('1. Staff Costs'!R:R,'1. Staff Costs'!C:C,B6,'1. Staff Costs'!I:I,$J$3,'1. Staff Costs'!Q:Q,"&lt;&gt;Error")</f>
        <v>0</v>
      </c>
      <c r="L6" s="183">
        <f t="shared" ref="L6:L59" si="0">D6+F6+H6+J6</f>
        <v>15160</v>
      </c>
      <c r="M6" s="183">
        <f t="shared" ref="M6:M59" si="1">E6+G6+I6+K6</f>
        <v>179</v>
      </c>
    </row>
    <row r="7" spans="2:13" x14ac:dyDescent="0.4">
      <c r="B7" s="208" t="s">
        <v>8</v>
      </c>
      <c r="C7" s="208" t="str">
        <f>IF('Final financial statement'!E25=0,"",'Final financial statement'!E25)</f>
        <v>Partner</v>
      </c>
      <c r="D7" s="182">
        <f>SUMIFS('1. Staff Costs'!P:P,'1. Staff Costs'!C:C,B7,'1. Staff Costs'!I:I,$D$3,'1. Staff Costs'!Q:Q,"&lt;&gt;Error")</f>
        <v>1296</v>
      </c>
      <c r="E7" s="182">
        <f>SUMIFS('1. Staff Costs'!R:R,'1. Staff Costs'!C:C,B7,'1. Staff Costs'!I:I,$D$3,'1. Staff Costs'!Q:Q,"&lt;&gt;Error")</f>
        <v>12</v>
      </c>
      <c r="F7" s="182">
        <f>SUMIFS('1. Staff Costs'!P:P,'1. Staff Costs'!C:C,B7,'1. Staff Costs'!I:I,$F$3,'1. Staff Costs'!Q:Q,"&lt;&gt;Error")</f>
        <v>1840</v>
      </c>
      <c r="G7" s="182">
        <f>SUMIFS('1. Staff Costs'!R:R,'1. Staff Costs'!C:C,B7,'1. Staff Costs'!I:I,$F$3,'1. Staff Costs'!Q:Q,"&lt;&gt;Error")</f>
        <v>23</v>
      </c>
      <c r="H7" s="182">
        <f>SUMIFS('1. Staff Costs'!P:P,'1. Staff Costs'!C:C,B7,'1. Staff Costs'!I:I,$H$3,'1. Staff Costs'!Q:Q,"&lt;&gt;Error")</f>
        <v>0</v>
      </c>
      <c r="I7" s="182">
        <f>SUMIFS('1. Staff Costs'!R:R,'1. Staff Costs'!C:C,B7,'1. Staff Costs'!I:I,$H$3,'1. Staff Costs'!Q:Q,"&lt;&gt;Error")</f>
        <v>0</v>
      </c>
      <c r="J7" s="182">
        <f>SUMIFS('1. Staff Costs'!P:P,'1. Staff Costs'!C:C,B7,'1. Staff Costs'!I:I,$J$3,'1. Staff Costs'!Q:Q,"&lt;&gt;Error")</f>
        <v>0</v>
      </c>
      <c r="K7" s="182">
        <f>SUMIFS('1. Staff Costs'!R:R,'1. Staff Costs'!C:C,B7,'1. Staff Costs'!I:I,$J$3,'1. Staff Costs'!Q:Q,"&lt;&gt;Error")</f>
        <v>0</v>
      </c>
      <c r="L7" s="183">
        <f t="shared" si="0"/>
        <v>3136</v>
      </c>
      <c r="M7" s="183">
        <f t="shared" si="1"/>
        <v>35</v>
      </c>
    </row>
    <row r="8" spans="2:13" x14ac:dyDescent="0.4">
      <c r="B8" s="208" t="s">
        <v>9</v>
      </c>
      <c r="C8" s="208" t="str">
        <f>IF('Final financial statement'!E26=0,"",'Final financial statement'!E26)</f>
        <v>Partner</v>
      </c>
      <c r="D8" s="182">
        <f>SUMIFS('1. Staff Costs'!P:P,'1. Staff Costs'!C:C,B8,'1. Staff Costs'!I:I,$D$3,'1. Staff Costs'!Q:Q,"&lt;&gt;Error")</f>
        <v>1540</v>
      </c>
      <c r="E8" s="182">
        <f>SUMIFS('1. Staff Costs'!R:R,'1. Staff Costs'!C:C,B8,'1. Staff Costs'!I:I,$D$3,'1. Staff Costs'!Q:Q,"&lt;&gt;Error")</f>
        <v>20</v>
      </c>
      <c r="F8" s="182">
        <f>SUMIFS('1. Staff Costs'!P:P,'1. Staff Costs'!C:C,B8,'1. Staff Costs'!I:I,$F$3,'1. Staff Costs'!Q:Q,"&lt;&gt;Error")</f>
        <v>855</v>
      </c>
      <c r="G8" s="182">
        <f>SUMIFS('1. Staff Costs'!R:R,'1. Staff Costs'!C:C,B8,'1. Staff Costs'!I:I,$F$3,'1. Staff Costs'!Q:Q,"&lt;&gt;Error")</f>
        <v>15</v>
      </c>
      <c r="H8" s="182">
        <f>SUMIFS('1. Staff Costs'!P:P,'1. Staff Costs'!C:C,B8,'1. Staff Costs'!I:I,$H$3,'1. Staff Costs'!Q:Q,"&lt;&gt;Error")</f>
        <v>0</v>
      </c>
      <c r="I8" s="182">
        <f>SUMIFS('1. Staff Costs'!R:R,'1. Staff Costs'!C:C,B8,'1. Staff Costs'!I:I,$H$3,'1. Staff Costs'!Q:Q,"&lt;&gt;Error")</f>
        <v>0</v>
      </c>
      <c r="J8" s="182">
        <f>SUMIFS('1. Staff Costs'!P:P,'1. Staff Costs'!C:C,B8,'1. Staff Costs'!I:I,$J$3,'1. Staff Costs'!Q:Q,"&lt;&gt;Error")</f>
        <v>0</v>
      </c>
      <c r="K8" s="182">
        <f>SUMIFS('1. Staff Costs'!R:R,'1. Staff Costs'!C:C,B8,'1. Staff Costs'!I:I,$J$3,'1. Staff Costs'!Q:Q,"&lt;&gt;Error")</f>
        <v>0</v>
      </c>
      <c r="L8" s="183">
        <f t="shared" si="0"/>
        <v>2395</v>
      </c>
      <c r="M8" s="183">
        <f t="shared" si="1"/>
        <v>35</v>
      </c>
    </row>
    <row r="9" spans="2:13" x14ac:dyDescent="0.4">
      <c r="B9" s="208" t="s">
        <v>10</v>
      </c>
      <c r="C9" s="208" t="str">
        <f>IF('Final financial statement'!E27=0,"",'Final financial statement'!E27)</f>
        <v>Partner</v>
      </c>
      <c r="D9" s="182">
        <f>SUMIFS('1. Staff Costs'!P:P,'1. Staff Costs'!C:C,B9,'1. Staff Costs'!I:I,$D$3,'1. Staff Costs'!Q:Q,"&lt;&gt;Error")</f>
        <v>0</v>
      </c>
      <c r="E9" s="182">
        <f>SUMIFS('1. Staff Costs'!R:R,'1. Staff Costs'!C:C,B9,'1. Staff Costs'!I:I,$D$3,'1. Staff Costs'!Q:Q,"&lt;&gt;Error")</f>
        <v>0</v>
      </c>
      <c r="F9" s="182">
        <f>SUMIFS('1. Staff Costs'!P:P,'1. Staff Costs'!C:C,B9,'1. Staff Costs'!I:I,$F$3,'1. Staff Costs'!Q:Q,"&lt;&gt;Error")</f>
        <v>2622</v>
      </c>
      <c r="G9" s="182">
        <f>SUMIFS('1. Staff Costs'!R:R,'1. Staff Costs'!C:C,B9,'1. Staff Costs'!I:I,$F$3,'1. Staff Costs'!Q:Q,"&lt;&gt;Error")</f>
        <v>46</v>
      </c>
      <c r="H9" s="182">
        <f>SUMIFS('1. Staff Costs'!P:P,'1. Staff Costs'!C:C,B9,'1. Staff Costs'!I:I,$H$3,'1. Staff Costs'!Q:Q,"&lt;&gt;Error")</f>
        <v>0</v>
      </c>
      <c r="I9" s="182">
        <f>SUMIFS('1. Staff Costs'!R:R,'1. Staff Costs'!C:C,B9,'1. Staff Costs'!I:I,$H$3,'1. Staff Costs'!Q:Q,"&lt;&gt;Error")</f>
        <v>0</v>
      </c>
      <c r="J9" s="182">
        <f>SUMIFS('1. Staff Costs'!P:P,'1. Staff Costs'!C:C,B9,'1. Staff Costs'!I:I,$J$3,'1. Staff Costs'!Q:Q,"&lt;&gt;Error")</f>
        <v>0</v>
      </c>
      <c r="K9" s="182">
        <f>SUMIFS('1. Staff Costs'!R:R,'1. Staff Costs'!C:C,B9,'1. Staff Costs'!I:I,$J$3,'1. Staff Costs'!Q:Q,"&lt;&gt;Error")</f>
        <v>0</v>
      </c>
      <c r="L9" s="183">
        <f t="shared" si="0"/>
        <v>2622</v>
      </c>
      <c r="M9" s="183">
        <f t="shared" si="1"/>
        <v>46</v>
      </c>
    </row>
    <row r="10" spans="2:13" x14ac:dyDescent="0.4">
      <c r="B10" s="208" t="s">
        <v>11</v>
      </c>
      <c r="C10" s="208" t="str">
        <f>IF('Final financial statement'!E28=0,"",'Final financial statement'!E28)</f>
        <v>Partner</v>
      </c>
      <c r="D10" s="182">
        <f>SUMIFS('1. Staff Costs'!P:P,'1. Staff Costs'!C:C,B10,'1. Staff Costs'!I:I,$D$3,'1. Staff Costs'!Q:Q,"&lt;&gt;Error")</f>
        <v>1836</v>
      </c>
      <c r="E10" s="182">
        <f>SUMIFS('1. Staff Costs'!R:R,'1. Staff Costs'!C:C,B10,'1. Staff Costs'!I:I,$D$3,'1. Staff Costs'!Q:Q,"&lt;&gt;Error")</f>
        <v>17</v>
      </c>
      <c r="F10" s="182">
        <f>SUMIFS('1. Staff Costs'!P:P,'1. Staff Costs'!C:C,B10,'1. Staff Costs'!I:I,$F$3,'1. Staff Costs'!Q:Q,"&lt;&gt;Error")</f>
        <v>1040</v>
      </c>
      <c r="G10" s="182">
        <f>SUMIFS('1. Staff Costs'!R:R,'1. Staff Costs'!C:C,B10,'1. Staff Costs'!I:I,$F$3,'1. Staff Costs'!Q:Q,"&lt;&gt;Error")</f>
        <v>13</v>
      </c>
      <c r="H10" s="182">
        <f>SUMIFS('1. Staff Costs'!P:P,'1. Staff Costs'!C:C,B10,'1. Staff Costs'!I:I,$H$3,'1. Staff Costs'!Q:Q,"&lt;&gt;Error")</f>
        <v>0</v>
      </c>
      <c r="I10" s="182">
        <f>SUMIFS('1. Staff Costs'!R:R,'1. Staff Costs'!C:C,B10,'1. Staff Costs'!I:I,$H$3,'1. Staff Costs'!Q:Q,"&lt;&gt;Error")</f>
        <v>0</v>
      </c>
      <c r="J10" s="182">
        <f>SUMIFS('1. Staff Costs'!P:P,'1. Staff Costs'!C:C,B10,'1. Staff Costs'!I:I,$J$3,'1. Staff Costs'!Q:Q,"&lt;&gt;Error")</f>
        <v>0</v>
      </c>
      <c r="K10" s="182">
        <f>SUMIFS('1. Staff Costs'!R:R,'1. Staff Costs'!C:C,B10,'1. Staff Costs'!I:I,$J$3,'1. Staff Costs'!Q:Q,"&lt;&gt;Error")</f>
        <v>0</v>
      </c>
      <c r="L10" s="183">
        <f t="shared" si="0"/>
        <v>2876</v>
      </c>
      <c r="M10" s="183">
        <f t="shared" si="1"/>
        <v>30</v>
      </c>
    </row>
    <row r="11" spans="2:13" x14ac:dyDescent="0.4">
      <c r="B11" s="208" t="s">
        <v>12</v>
      </c>
      <c r="C11" s="208" t="str">
        <f>IF('Final financial statement'!E29=0,"",'Final financial statement'!E29)</f>
        <v>Partner</v>
      </c>
      <c r="D11" s="182">
        <f>SUMIFS('1. Staff Costs'!P:P,'1. Staff Costs'!C:C,B11,'1. Staff Costs'!I:I,$D$3,'1. Staff Costs'!Q:Q,"&lt;&gt;Error")</f>
        <v>0</v>
      </c>
      <c r="E11" s="182">
        <f>SUMIFS('1. Staff Costs'!R:R,'1. Staff Costs'!C:C,B11,'1. Staff Costs'!I:I,$D$3,'1. Staff Costs'!Q:Q,"&lt;&gt;Error")</f>
        <v>0</v>
      </c>
      <c r="F11" s="182">
        <f>SUMIFS('1. Staff Costs'!P:P,'1. Staff Costs'!C:C,B11,'1. Staff Costs'!I:I,$F$3,'1. Staff Costs'!Q:Q,"&lt;&gt;Error")</f>
        <v>2320</v>
      </c>
      <c r="G11" s="182">
        <f>SUMIFS('1. Staff Costs'!R:R,'1. Staff Costs'!C:C,B11,'1. Staff Costs'!I:I,$F$3,'1. Staff Costs'!Q:Q,"&lt;&gt;Error")</f>
        <v>29</v>
      </c>
      <c r="H11" s="182">
        <f>SUMIFS('1. Staff Costs'!P:P,'1. Staff Costs'!C:C,B11,'1. Staff Costs'!I:I,$H$3,'1. Staff Costs'!Q:Q,"&lt;&gt;Error")</f>
        <v>0</v>
      </c>
      <c r="I11" s="182">
        <f>SUMIFS('1. Staff Costs'!R:R,'1. Staff Costs'!C:C,B11,'1. Staff Costs'!I:I,$H$3,'1. Staff Costs'!Q:Q,"&lt;&gt;Error")</f>
        <v>0</v>
      </c>
      <c r="J11" s="182">
        <f>SUMIFS('1. Staff Costs'!P:P,'1. Staff Costs'!C:C,B11,'1. Staff Costs'!I:I,$J$3,'1. Staff Costs'!Q:Q,"&lt;&gt;Error")</f>
        <v>0</v>
      </c>
      <c r="K11" s="182">
        <f>SUMIFS('1. Staff Costs'!R:R,'1. Staff Costs'!C:C,B11,'1. Staff Costs'!I:I,$J$3,'1. Staff Costs'!Q:Q,"&lt;&gt;Error")</f>
        <v>0</v>
      </c>
      <c r="L11" s="183">
        <f t="shared" si="0"/>
        <v>2320</v>
      </c>
      <c r="M11" s="183">
        <f t="shared" si="1"/>
        <v>29</v>
      </c>
    </row>
    <row r="12" spans="2:13" x14ac:dyDescent="0.4">
      <c r="B12" s="208" t="s">
        <v>13</v>
      </c>
      <c r="C12" s="208" t="str">
        <f>IF('Final financial statement'!E30=0,"",'Final financial statement'!E30)</f>
        <v>Partner</v>
      </c>
      <c r="D12" s="182">
        <f>SUMIFS('1. Staff Costs'!P:P,'1. Staff Costs'!C:C,B12,'1. Staff Costs'!I:I,$D$3,'1. Staff Costs'!Q:Q,"&lt;&gt;Error")</f>
        <v>1296</v>
      </c>
      <c r="E12" s="182">
        <f>SUMIFS('1. Staff Costs'!R:R,'1. Staff Costs'!C:C,B12,'1. Staff Costs'!I:I,$D$3,'1. Staff Costs'!Q:Q,"&lt;&gt;Error")</f>
        <v>12</v>
      </c>
      <c r="F12" s="182">
        <f>SUMIFS('1. Staff Costs'!P:P,'1. Staff Costs'!C:C,B12,'1. Staff Costs'!I:I,$F$3,'1. Staff Costs'!Q:Q,"&lt;&gt;Error")</f>
        <v>1680</v>
      </c>
      <c r="G12" s="182">
        <f>SUMIFS('1. Staff Costs'!R:R,'1. Staff Costs'!C:C,B12,'1. Staff Costs'!I:I,$F$3,'1. Staff Costs'!Q:Q,"&lt;&gt;Error")</f>
        <v>21</v>
      </c>
      <c r="H12" s="182">
        <f>SUMIFS('1. Staff Costs'!P:P,'1. Staff Costs'!C:C,B12,'1. Staff Costs'!I:I,$H$3,'1. Staff Costs'!Q:Q,"&lt;&gt;Error")</f>
        <v>0</v>
      </c>
      <c r="I12" s="182">
        <f>SUMIFS('1. Staff Costs'!R:R,'1. Staff Costs'!C:C,B12,'1. Staff Costs'!I:I,$H$3,'1. Staff Costs'!Q:Q,"&lt;&gt;Error")</f>
        <v>0</v>
      </c>
      <c r="J12" s="182">
        <f>SUMIFS('1. Staff Costs'!P:P,'1. Staff Costs'!C:C,B12,'1. Staff Costs'!I:I,$J$3,'1. Staff Costs'!Q:Q,"&lt;&gt;Error")</f>
        <v>0</v>
      </c>
      <c r="K12" s="182">
        <f>SUMIFS('1. Staff Costs'!R:R,'1. Staff Costs'!C:C,B12,'1. Staff Costs'!I:I,$J$3,'1. Staff Costs'!Q:Q,"&lt;&gt;Error")</f>
        <v>0</v>
      </c>
      <c r="L12" s="183">
        <f t="shared" si="0"/>
        <v>2976</v>
      </c>
      <c r="M12" s="183">
        <f t="shared" si="1"/>
        <v>33</v>
      </c>
    </row>
    <row r="13" spans="2:13" x14ac:dyDescent="0.4">
      <c r="B13" s="208" t="s">
        <v>14</v>
      </c>
      <c r="C13" s="208" t="str">
        <f>IF('Final financial statement'!E31=0,"",'Final financial statement'!E31)</f>
        <v>Partner</v>
      </c>
      <c r="D13" s="182">
        <f>SUMIFS('1. Staff Costs'!P:P,'1. Staff Costs'!C:C,B13,'1. Staff Costs'!I:I,$D$3,'1. Staff Costs'!Q:Q,"&lt;&gt;Error")</f>
        <v>1296</v>
      </c>
      <c r="E13" s="182">
        <f>SUMIFS('1. Staff Costs'!R:R,'1. Staff Costs'!C:C,B13,'1. Staff Costs'!I:I,$D$3,'1. Staff Costs'!Q:Q,"&lt;&gt;Error")</f>
        <v>12</v>
      </c>
      <c r="F13" s="182">
        <f>SUMIFS('1. Staff Costs'!P:P,'1. Staff Costs'!C:C,B13,'1. Staff Costs'!I:I,$F$3,'1. Staff Costs'!Q:Q,"&lt;&gt;Error")</f>
        <v>1680</v>
      </c>
      <c r="G13" s="182">
        <f>SUMIFS('1. Staff Costs'!R:R,'1. Staff Costs'!C:C,B13,'1. Staff Costs'!I:I,$F$3,'1. Staff Costs'!Q:Q,"&lt;&gt;Error")</f>
        <v>21</v>
      </c>
      <c r="H13" s="182">
        <f>SUMIFS('1. Staff Costs'!P:P,'1. Staff Costs'!C:C,B13,'1. Staff Costs'!I:I,$H$3,'1. Staff Costs'!Q:Q,"&lt;&gt;Error")</f>
        <v>0</v>
      </c>
      <c r="I13" s="182">
        <f>SUMIFS('1. Staff Costs'!R:R,'1. Staff Costs'!C:C,B13,'1. Staff Costs'!I:I,$H$3,'1. Staff Costs'!Q:Q,"&lt;&gt;Error")</f>
        <v>0</v>
      </c>
      <c r="J13" s="182">
        <f>SUMIFS('1. Staff Costs'!P:P,'1. Staff Costs'!C:C,B13,'1. Staff Costs'!I:I,$J$3,'1. Staff Costs'!Q:Q,"&lt;&gt;Error")</f>
        <v>0</v>
      </c>
      <c r="K13" s="182">
        <f>SUMIFS('1. Staff Costs'!R:R,'1. Staff Costs'!C:C,B13,'1. Staff Costs'!I:I,$J$3,'1. Staff Costs'!Q:Q,"&lt;&gt;Error")</f>
        <v>0</v>
      </c>
      <c r="L13" s="183">
        <f t="shared" si="0"/>
        <v>2976</v>
      </c>
      <c r="M13" s="183">
        <f t="shared" si="1"/>
        <v>33</v>
      </c>
    </row>
    <row r="14" spans="2:13" x14ac:dyDescent="0.4">
      <c r="B14" s="208" t="s">
        <v>15</v>
      </c>
      <c r="C14" s="208" t="str">
        <f>IF('Final financial statement'!E32=0,"",'Final financial statement'!E32)</f>
        <v>Partner</v>
      </c>
      <c r="D14" s="182">
        <f>SUMIFS('1. Staff Costs'!P:P,'1. Staff Costs'!C:C,B14,'1. Staff Costs'!I:I,$D$3,'1. Staff Costs'!Q:Q,"&lt;&gt;Error")</f>
        <v>3360</v>
      </c>
      <c r="E14" s="182">
        <f>SUMIFS('1. Staff Costs'!R:R,'1. Staff Costs'!C:C,B14,'1. Staff Costs'!I:I,$D$3,'1. Staff Costs'!Q:Q,"&lt;&gt;Error")</f>
        <v>12</v>
      </c>
      <c r="F14" s="182">
        <f>SUMIFS('1. Staff Costs'!P:P,'1. Staff Costs'!C:C,B14,'1. Staff Costs'!I:I,$F$3,'1. Staff Costs'!Q:Q,"&lt;&gt;Error")</f>
        <v>2354</v>
      </c>
      <c r="G14" s="182">
        <f>SUMIFS('1. Staff Costs'!R:R,'1. Staff Costs'!C:C,B14,'1. Staff Costs'!I:I,$F$3,'1. Staff Costs'!Q:Q,"&lt;&gt;Error")</f>
        <v>11</v>
      </c>
      <c r="H14" s="182">
        <f>SUMIFS('1. Staff Costs'!P:P,'1. Staff Costs'!C:C,B14,'1. Staff Costs'!I:I,$H$3,'1. Staff Costs'!Q:Q,"&lt;&gt;Error")</f>
        <v>0</v>
      </c>
      <c r="I14" s="182">
        <f>SUMIFS('1. Staff Costs'!R:R,'1. Staff Costs'!C:C,B14,'1. Staff Costs'!I:I,$H$3,'1. Staff Costs'!Q:Q,"&lt;&gt;Error")</f>
        <v>0</v>
      </c>
      <c r="J14" s="182">
        <f>SUMIFS('1. Staff Costs'!P:P,'1. Staff Costs'!C:C,B14,'1. Staff Costs'!I:I,$J$3,'1. Staff Costs'!Q:Q,"&lt;&gt;Error")</f>
        <v>0</v>
      </c>
      <c r="K14" s="182">
        <f>SUMIFS('1. Staff Costs'!R:R,'1. Staff Costs'!C:C,B14,'1. Staff Costs'!I:I,$J$3,'1. Staff Costs'!Q:Q,"&lt;&gt;Error")</f>
        <v>0</v>
      </c>
      <c r="L14" s="183">
        <f t="shared" si="0"/>
        <v>5714</v>
      </c>
      <c r="M14" s="183">
        <f t="shared" si="1"/>
        <v>23</v>
      </c>
    </row>
    <row r="15" spans="2:13" x14ac:dyDescent="0.4">
      <c r="B15" s="208" t="s">
        <v>16</v>
      </c>
      <c r="C15" s="208" t="str">
        <f>IF('Final financial statement'!E33=0,"",'Final financial statement'!E33)</f>
        <v>Partner</v>
      </c>
      <c r="D15" s="182">
        <f>SUMIFS('1. Staff Costs'!P:P,'1. Staff Costs'!C:C,B15,'1. Staff Costs'!I:I,$D$3,'1. Staff Costs'!Q:Q,"&lt;&gt;Error")</f>
        <v>2800</v>
      </c>
      <c r="E15" s="182">
        <f>SUMIFS('1. Staff Costs'!R:R,'1. Staff Costs'!C:C,B15,'1. Staff Costs'!I:I,$D$3,'1. Staff Costs'!Q:Q,"&lt;&gt;Error")</f>
        <v>10</v>
      </c>
      <c r="F15" s="182">
        <f>SUMIFS('1. Staff Costs'!P:P,'1. Staff Costs'!C:C,B15,'1. Staff Costs'!I:I,$F$3,'1. Staff Costs'!Q:Q,"&lt;&gt;Error")</f>
        <v>3424</v>
      </c>
      <c r="G15" s="182">
        <f>SUMIFS('1. Staff Costs'!R:R,'1. Staff Costs'!C:C,B15,'1. Staff Costs'!I:I,$F$3,'1. Staff Costs'!Q:Q,"&lt;&gt;Error")</f>
        <v>16</v>
      </c>
      <c r="H15" s="182">
        <f>SUMIFS('1. Staff Costs'!P:P,'1. Staff Costs'!C:C,B15,'1. Staff Costs'!I:I,$H$3,'1. Staff Costs'!Q:Q,"&lt;&gt;Error")</f>
        <v>0</v>
      </c>
      <c r="I15" s="182">
        <f>SUMIFS('1. Staff Costs'!R:R,'1. Staff Costs'!C:C,B15,'1. Staff Costs'!I:I,$H$3,'1. Staff Costs'!Q:Q,"&lt;&gt;Error")</f>
        <v>0</v>
      </c>
      <c r="J15" s="182">
        <f>SUMIFS('1. Staff Costs'!P:P,'1. Staff Costs'!C:C,B15,'1. Staff Costs'!I:I,$J$3,'1. Staff Costs'!Q:Q,"&lt;&gt;Error")</f>
        <v>0</v>
      </c>
      <c r="K15" s="182">
        <f>SUMIFS('1. Staff Costs'!R:R,'1. Staff Costs'!C:C,B15,'1. Staff Costs'!I:I,$J$3,'1. Staff Costs'!Q:Q,"&lt;&gt;Error")</f>
        <v>0</v>
      </c>
      <c r="L15" s="183">
        <f t="shared" si="0"/>
        <v>6224</v>
      </c>
      <c r="M15" s="183">
        <f t="shared" si="1"/>
        <v>26</v>
      </c>
    </row>
    <row r="16" spans="2:13" x14ac:dyDescent="0.4">
      <c r="B16" s="208" t="s">
        <v>17</v>
      </c>
      <c r="C16" s="208" t="str">
        <f>IF('Final financial statement'!E34=0,"",'Final financial statement'!E34)</f>
        <v/>
      </c>
      <c r="D16" s="182">
        <f>SUMIFS('1. Staff Costs'!P:P,'1. Staff Costs'!C:C,B16,'1. Staff Costs'!I:I,$D$3,'1. Staff Costs'!Q:Q,"&lt;&gt;Error")</f>
        <v>0</v>
      </c>
      <c r="E16" s="182">
        <f>SUMIFS('1. Staff Costs'!R:R,'1. Staff Costs'!C:C,B16,'1. Staff Costs'!I:I,$D$3,'1. Staff Costs'!Q:Q,"&lt;&gt;Error")</f>
        <v>0</v>
      </c>
      <c r="F16" s="182">
        <f>SUMIFS('1. Staff Costs'!P:P,'1. Staff Costs'!C:C,B16,'1. Staff Costs'!I:I,$F$3,'1. Staff Costs'!Q:Q,"&lt;&gt;Error")</f>
        <v>0</v>
      </c>
      <c r="G16" s="182">
        <f>SUMIFS('1. Staff Costs'!R:R,'1. Staff Costs'!C:C,B16,'1. Staff Costs'!I:I,$F$3,'1. Staff Costs'!Q:Q,"&lt;&gt;Error")</f>
        <v>0</v>
      </c>
      <c r="H16" s="182">
        <f>SUMIFS('1. Staff Costs'!P:P,'1. Staff Costs'!C:C,B16,'1. Staff Costs'!I:I,$H$3,'1. Staff Costs'!Q:Q,"&lt;&gt;Error")</f>
        <v>0</v>
      </c>
      <c r="I16" s="182">
        <f>SUMIFS('1. Staff Costs'!R:R,'1. Staff Costs'!C:C,B16,'1. Staff Costs'!I:I,$H$3,'1. Staff Costs'!Q:Q,"&lt;&gt;Error")</f>
        <v>0</v>
      </c>
      <c r="J16" s="182">
        <f>SUMIFS('1. Staff Costs'!P:P,'1. Staff Costs'!C:C,B16,'1. Staff Costs'!I:I,$J$3,'1. Staff Costs'!Q:Q,"&lt;&gt;Error")</f>
        <v>0</v>
      </c>
      <c r="K16" s="182">
        <f>SUMIFS('1. Staff Costs'!R:R,'1. Staff Costs'!C:C,B16,'1. Staff Costs'!I:I,$J$3,'1. Staff Costs'!Q:Q,"&lt;&gt;Error")</f>
        <v>0</v>
      </c>
      <c r="L16" s="183">
        <f t="shared" si="0"/>
        <v>0</v>
      </c>
      <c r="M16" s="183">
        <f t="shared" si="1"/>
        <v>0</v>
      </c>
    </row>
    <row r="17" spans="2:13" x14ac:dyDescent="0.4">
      <c r="B17" s="208" t="s">
        <v>145</v>
      </c>
      <c r="C17" s="208" t="str">
        <f>IF('Final financial statement'!E35=0,"",'Final financial statement'!E35)</f>
        <v/>
      </c>
      <c r="D17" s="182">
        <f>SUMIFS('1. Staff Costs'!P:P,'1. Staff Costs'!C:C,B17,'1. Staff Costs'!I:I,$D$3,'1. Staff Costs'!Q:Q,"&lt;&gt;Error")</f>
        <v>0</v>
      </c>
      <c r="E17" s="182">
        <f>SUMIFS('1. Staff Costs'!R:R,'1. Staff Costs'!C:C,B17,'1. Staff Costs'!I:I,$D$3,'1. Staff Costs'!Q:Q,"&lt;&gt;Error")</f>
        <v>0</v>
      </c>
      <c r="F17" s="182">
        <f>SUMIFS('1. Staff Costs'!P:P,'1. Staff Costs'!C:C,B17,'1. Staff Costs'!I:I,$F$3,'1. Staff Costs'!Q:Q,"&lt;&gt;Error")</f>
        <v>0</v>
      </c>
      <c r="G17" s="182">
        <f>SUMIFS('1. Staff Costs'!R:R,'1. Staff Costs'!C:C,B17,'1. Staff Costs'!I:I,$F$3,'1. Staff Costs'!Q:Q,"&lt;&gt;Error")</f>
        <v>0</v>
      </c>
      <c r="H17" s="182">
        <f>SUMIFS('1. Staff Costs'!P:P,'1. Staff Costs'!C:C,B17,'1. Staff Costs'!I:I,$H$3,'1. Staff Costs'!Q:Q,"&lt;&gt;Error")</f>
        <v>0</v>
      </c>
      <c r="I17" s="182">
        <f>SUMIFS('1. Staff Costs'!R:R,'1. Staff Costs'!C:C,B17,'1. Staff Costs'!I:I,$H$3,'1. Staff Costs'!Q:Q,"&lt;&gt;Error")</f>
        <v>0</v>
      </c>
      <c r="J17" s="182">
        <f>SUMIFS('1. Staff Costs'!P:P,'1. Staff Costs'!C:C,B17,'1. Staff Costs'!I:I,$J$3,'1. Staff Costs'!Q:Q,"&lt;&gt;Error")</f>
        <v>0</v>
      </c>
      <c r="K17" s="182">
        <f>SUMIFS('1. Staff Costs'!R:R,'1. Staff Costs'!C:C,B17,'1. Staff Costs'!I:I,$J$3,'1. Staff Costs'!Q:Q,"&lt;&gt;Error")</f>
        <v>0</v>
      </c>
      <c r="L17" s="183">
        <f t="shared" si="0"/>
        <v>0</v>
      </c>
      <c r="M17" s="183">
        <f t="shared" si="1"/>
        <v>0</v>
      </c>
    </row>
    <row r="18" spans="2:13" x14ac:dyDescent="0.4">
      <c r="B18" s="208" t="s">
        <v>18</v>
      </c>
      <c r="C18" s="208" t="str">
        <f>IF('Final financial statement'!E36=0,"",'Final financial statement'!E36)</f>
        <v/>
      </c>
      <c r="D18" s="182">
        <f>SUMIFS('1. Staff Costs'!P:P,'1. Staff Costs'!C:C,B18,'1. Staff Costs'!I:I,$D$3,'1. Staff Costs'!Q:Q,"&lt;&gt;Error")</f>
        <v>0</v>
      </c>
      <c r="E18" s="182">
        <f>SUMIFS('1. Staff Costs'!R:R,'1. Staff Costs'!C:C,B18,'1. Staff Costs'!I:I,$D$3,'1. Staff Costs'!Q:Q,"&lt;&gt;Error")</f>
        <v>0</v>
      </c>
      <c r="F18" s="182">
        <f>SUMIFS('1. Staff Costs'!P:P,'1. Staff Costs'!C:C,B18,'1. Staff Costs'!I:I,$F$3,'1. Staff Costs'!Q:Q,"&lt;&gt;Error")</f>
        <v>0</v>
      </c>
      <c r="G18" s="182">
        <f>SUMIFS('1. Staff Costs'!R:R,'1. Staff Costs'!C:C,B18,'1. Staff Costs'!I:I,$F$3,'1. Staff Costs'!Q:Q,"&lt;&gt;Error")</f>
        <v>0</v>
      </c>
      <c r="H18" s="182">
        <f>SUMIFS('1. Staff Costs'!P:P,'1. Staff Costs'!C:C,B18,'1. Staff Costs'!I:I,$H$3,'1. Staff Costs'!Q:Q,"&lt;&gt;Error")</f>
        <v>0</v>
      </c>
      <c r="I18" s="182">
        <f>SUMIFS('1. Staff Costs'!R:R,'1. Staff Costs'!C:C,B18,'1. Staff Costs'!I:I,$H$3,'1. Staff Costs'!Q:Q,"&lt;&gt;Error")</f>
        <v>0</v>
      </c>
      <c r="J18" s="182">
        <f>SUMIFS('1. Staff Costs'!P:P,'1. Staff Costs'!C:C,B18,'1. Staff Costs'!I:I,$J$3,'1. Staff Costs'!Q:Q,"&lt;&gt;Error")</f>
        <v>0</v>
      </c>
      <c r="K18" s="182">
        <f>SUMIFS('1. Staff Costs'!R:R,'1. Staff Costs'!C:C,B18,'1. Staff Costs'!I:I,$J$3,'1. Staff Costs'!Q:Q,"&lt;&gt;Error")</f>
        <v>0</v>
      </c>
      <c r="L18" s="183">
        <f t="shared" si="0"/>
        <v>0</v>
      </c>
      <c r="M18" s="183">
        <f t="shared" si="1"/>
        <v>0</v>
      </c>
    </row>
    <row r="19" spans="2:13" x14ac:dyDescent="0.4">
      <c r="B19" s="208" t="s">
        <v>19</v>
      </c>
      <c r="C19" s="208" t="str">
        <f>IF('Final financial statement'!E37=0,"",'Final financial statement'!E37)</f>
        <v/>
      </c>
      <c r="D19" s="182">
        <f>SUMIFS('1. Staff Costs'!P:P,'1. Staff Costs'!C:C,B19,'1. Staff Costs'!I:I,$D$3,'1. Staff Costs'!Q:Q,"&lt;&gt;Error")</f>
        <v>0</v>
      </c>
      <c r="E19" s="182">
        <f>SUMIFS('1. Staff Costs'!R:R,'1. Staff Costs'!C:C,B19,'1. Staff Costs'!I:I,$D$3,'1. Staff Costs'!Q:Q,"&lt;&gt;Error")</f>
        <v>0</v>
      </c>
      <c r="F19" s="182">
        <f>SUMIFS('1. Staff Costs'!P:P,'1. Staff Costs'!C:C,B19,'1. Staff Costs'!I:I,$F$3,'1. Staff Costs'!Q:Q,"&lt;&gt;Error")</f>
        <v>0</v>
      </c>
      <c r="G19" s="182">
        <f>SUMIFS('1. Staff Costs'!R:R,'1. Staff Costs'!C:C,B19,'1. Staff Costs'!I:I,$F$3,'1. Staff Costs'!Q:Q,"&lt;&gt;Error")</f>
        <v>0</v>
      </c>
      <c r="H19" s="182">
        <f>SUMIFS('1. Staff Costs'!P:P,'1. Staff Costs'!C:C,B19,'1. Staff Costs'!I:I,$H$3,'1. Staff Costs'!Q:Q,"&lt;&gt;Error")</f>
        <v>0</v>
      </c>
      <c r="I19" s="182">
        <f>SUMIFS('1. Staff Costs'!R:R,'1. Staff Costs'!C:C,B19,'1. Staff Costs'!I:I,$H$3,'1. Staff Costs'!Q:Q,"&lt;&gt;Error")</f>
        <v>0</v>
      </c>
      <c r="J19" s="182">
        <f>SUMIFS('1. Staff Costs'!P:P,'1. Staff Costs'!C:C,B19,'1. Staff Costs'!I:I,$J$3,'1. Staff Costs'!Q:Q,"&lt;&gt;Error")</f>
        <v>0</v>
      </c>
      <c r="K19" s="182">
        <f>SUMIFS('1. Staff Costs'!R:R,'1. Staff Costs'!C:C,B19,'1. Staff Costs'!I:I,$J$3,'1. Staff Costs'!Q:Q,"&lt;&gt;Error")</f>
        <v>0</v>
      </c>
      <c r="L19" s="183">
        <f t="shared" si="0"/>
        <v>0</v>
      </c>
      <c r="M19" s="183">
        <f t="shared" si="1"/>
        <v>0</v>
      </c>
    </row>
    <row r="20" spans="2:13" x14ac:dyDescent="0.4">
      <c r="B20" s="208" t="s">
        <v>20</v>
      </c>
      <c r="C20" s="208" t="str">
        <f>IF('Final financial statement'!E38=0,"",'Final financial statement'!E38)</f>
        <v/>
      </c>
      <c r="D20" s="182">
        <f>SUMIFS('1. Staff Costs'!P:P,'1. Staff Costs'!C:C,B20,'1. Staff Costs'!I:I,$D$3,'1. Staff Costs'!Q:Q,"&lt;&gt;Error")</f>
        <v>0</v>
      </c>
      <c r="E20" s="182">
        <f>SUMIFS('1. Staff Costs'!R:R,'1. Staff Costs'!C:C,B20,'1. Staff Costs'!I:I,$D$3,'1. Staff Costs'!Q:Q,"&lt;&gt;Error")</f>
        <v>0</v>
      </c>
      <c r="F20" s="182">
        <f>SUMIFS('1. Staff Costs'!P:P,'1. Staff Costs'!C:C,B20,'1. Staff Costs'!I:I,$F$3,'1. Staff Costs'!Q:Q,"&lt;&gt;Error")</f>
        <v>0</v>
      </c>
      <c r="G20" s="182">
        <f>SUMIFS('1. Staff Costs'!R:R,'1. Staff Costs'!C:C,B20,'1. Staff Costs'!I:I,$F$3,'1. Staff Costs'!Q:Q,"&lt;&gt;Error")</f>
        <v>0</v>
      </c>
      <c r="H20" s="182">
        <f>SUMIFS('1. Staff Costs'!P:P,'1. Staff Costs'!C:C,B20,'1. Staff Costs'!I:I,$H$3,'1. Staff Costs'!Q:Q,"&lt;&gt;Error")</f>
        <v>0</v>
      </c>
      <c r="I20" s="182">
        <f>SUMIFS('1. Staff Costs'!R:R,'1. Staff Costs'!C:C,B20,'1. Staff Costs'!I:I,$H$3,'1. Staff Costs'!Q:Q,"&lt;&gt;Error")</f>
        <v>0</v>
      </c>
      <c r="J20" s="182">
        <f>SUMIFS('1. Staff Costs'!P:P,'1. Staff Costs'!C:C,B20,'1. Staff Costs'!I:I,$J$3,'1. Staff Costs'!Q:Q,"&lt;&gt;Error")</f>
        <v>0</v>
      </c>
      <c r="K20" s="182">
        <f>SUMIFS('1. Staff Costs'!R:R,'1. Staff Costs'!C:C,B20,'1. Staff Costs'!I:I,$J$3,'1. Staff Costs'!Q:Q,"&lt;&gt;Error")</f>
        <v>0</v>
      </c>
      <c r="L20" s="183">
        <f t="shared" si="0"/>
        <v>0</v>
      </c>
      <c r="M20" s="183">
        <f t="shared" si="1"/>
        <v>0</v>
      </c>
    </row>
    <row r="21" spans="2:13" x14ac:dyDescent="0.4">
      <c r="B21" s="208" t="s">
        <v>21</v>
      </c>
      <c r="C21" s="208" t="str">
        <f>IF('Final financial statement'!E39=0,"",'Final financial statement'!E39)</f>
        <v/>
      </c>
      <c r="D21" s="182">
        <f>SUMIFS('1. Staff Costs'!P:P,'1. Staff Costs'!C:C,B21,'1. Staff Costs'!I:I,$D$3,'1. Staff Costs'!Q:Q,"&lt;&gt;Error")</f>
        <v>0</v>
      </c>
      <c r="E21" s="182">
        <f>SUMIFS('1. Staff Costs'!R:R,'1. Staff Costs'!C:C,B21,'1. Staff Costs'!I:I,$D$3,'1. Staff Costs'!Q:Q,"&lt;&gt;Error")</f>
        <v>0</v>
      </c>
      <c r="F21" s="182">
        <f>SUMIFS('1. Staff Costs'!P:P,'1. Staff Costs'!C:C,B21,'1. Staff Costs'!I:I,$F$3,'1. Staff Costs'!Q:Q,"&lt;&gt;Error")</f>
        <v>0</v>
      </c>
      <c r="G21" s="182">
        <f>SUMIFS('1. Staff Costs'!R:R,'1. Staff Costs'!C:C,B21,'1. Staff Costs'!I:I,$F$3,'1. Staff Costs'!Q:Q,"&lt;&gt;Error")</f>
        <v>0</v>
      </c>
      <c r="H21" s="182">
        <f>SUMIFS('1. Staff Costs'!P:P,'1. Staff Costs'!C:C,B21,'1. Staff Costs'!I:I,$H$3,'1. Staff Costs'!Q:Q,"&lt;&gt;Error")</f>
        <v>0</v>
      </c>
      <c r="I21" s="182">
        <f>SUMIFS('1. Staff Costs'!R:R,'1. Staff Costs'!C:C,B21,'1. Staff Costs'!I:I,$H$3,'1. Staff Costs'!Q:Q,"&lt;&gt;Error")</f>
        <v>0</v>
      </c>
      <c r="J21" s="182">
        <f>SUMIFS('1. Staff Costs'!P:P,'1. Staff Costs'!C:C,B21,'1. Staff Costs'!I:I,$J$3,'1. Staff Costs'!Q:Q,"&lt;&gt;Error")</f>
        <v>0</v>
      </c>
      <c r="K21" s="182">
        <f>SUMIFS('1. Staff Costs'!R:R,'1. Staff Costs'!C:C,B21,'1. Staff Costs'!I:I,$J$3,'1. Staff Costs'!Q:Q,"&lt;&gt;Error")</f>
        <v>0</v>
      </c>
      <c r="L21" s="183">
        <f t="shared" si="0"/>
        <v>0</v>
      </c>
      <c r="M21" s="183">
        <f t="shared" si="1"/>
        <v>0</v>
      </c>
    </row>
    <row r="22" spans="2:13" x14ac:dyDescent="0.4">
      <c r="B22" s="208" t="s">
        <v>22</v>
      </c>
      <c r="C22" s="208" t="str">
        <f>IF('Final financial statement'!E40=0,"",'Final financial statement'!E40)</f>
        <v/>
      </c>
      <c r="D22" s="182">
        <f>SUMIFS('1. Staff Costs'!P:P,'1. Staff Costs'!C:C,B22,'1. Staff Costs'!I:I,$D$3,'1. Staff Costs'!Q:Q,"&lt;&gt;Error")</f>
        <v>0</v>
      </c>
      <c r="E22" s="182">
        <f>SUMIFS('1. Staff Costs'!R:R,'1. Staff Costs'!C:C,B22,'1. Staff Costs'!I:I,$D$3,'1. Staff Costs'!Q:Q,"&lt;&gt;Error")</f>
        <v>0</v>
      </c>
      <c r="F22" s="182">
        <f>SUMIFS('1. Staff Costs'!P:P,'1. Staff Costs'!C:C,B22,'1. Staff Costs'!I:I,$F$3,'1. Staff Costs'!Q:Q,"&lt;&gt;Error")</f>
        <v>0</v>
      </c>
      <c r="G22" s="182">
        <f>SUMIFS('1. Staff Costs'!R:R,'1. Staff Costs'!C:C,B22,'1. Staff Costs'!I:I,$F$3,'1. Staff Costs'!Q:Q,"&lt;&gt;Error")</f>
        <v>0</v>
      </c>
      <c r="H22" s="182">
        <f>SUMIFS('1. Staff Costs'!P:P,'1. Staff Costs'!C:C,B22,'1. Staff Costs'!I:I,$H$3,'1. Staff Costs'!Q:Q,"&lt;&gt;Error")</f>
        <v>0</v>
      </c>
      <c r="I22" s="182">
        <f>SUMIFS('1. Staff Costs'!R:R,'1. Staff Costs'!C:C,B22,'1. Staff Costs'!I:I,$H$3,'1. Staff Costs'!Q:Q,"&lt;&gt;Error")</f>
        <v>0</v>
      </c>
      <c r="J22" s="182">
        <f>SUMIFS('1. Staff Costs'!P:P,'1. Staff Costs'!C:C,B22,'1. Staff Costs'!I:I,$J$3,'1. Staff Costs'!Q:Q,"&lt;&gt;Error")</f>
        <v>0</v>
      </c>
      <c r="K22" s="182">
        <f>SUMIFS('1. Staff Costs'!R:R,'1. Staff Costs'!C:C,B22,'1. Staff Costs'!I:I,$J$3,'1. Staff Costs'!Q:Q,"&lt;&gt;Error")</f>
        <v>0</v>
      </c>
      <c r="L22" s="183">
        <f t="shared" si="0"/>
        <v>0</v>
      </c>
      <c r="M22" s="183">
        <f t="shared" si="1"/>
        <v>0</v>
      </c>
    </row>
    <row r="23" spans="2:13" x14ac:dyDescent="0.4">
      <c r="B23" s="208" t="s">
        <v>23</v>
      </c>
      <c r="C23" s="208" t="str">
        <f>IF('Final financial statement'!E41=0,"",'Final financial statement'!E41)</f>
        <v/>
      </c>
      <c r="D23" s="182">
        <f>SUMIFS('1. Staff Costs'!P:P,'1. Staff Costs'!C:C,B23,'1. Staff Costs'!I:I,$D$3,'1. Staff Costs'!Q:Q,"&lt;&gt;Error")</f>
        <v>0</v>
      </c>
      <c r="E23" s="182">
        <f>SUMIFS('1. Staff Costs'!R:R,'1. Staff Costs'!C:C,B23,'1. Staff Costs'!I:I,$D$3,'1. Staff Costs'!Q:Q,"&lt;&gt;Error")</f>
        <v>0</v>
      </c>
      <c r="F23" s="182">
        <f>SUMIFS('1. Staff Costs'!P:P,'1. Staff Costs'!C:C,B23,'1. Staff Costs'!I:I,$F$3,'1. Staff Costs'!Q:Q,"&lt;&gt;Error")</f>
        <v>0</v>
      </c>
      <c r="G23" s="182">
        <f>SUMIFS('1. Staff Costs'!R:R,'1. Staff Costs'!C:C,B23,'1. Staff Costs'!I:I,$F$3,'1. Staff Costs'!Q:Q,"&lt;&gt;Error")</f>
        <v>0</v>
      </c>
      <c r="H23" s="182">
        <f>SUMIFS('1. Staff Costs'!P:P,'1. Staff Costs'!C:C,B23,'1. Staff Costs'!I:I,$H$3,'1. Staff Costs'!Q:Q,"&lt;&gt;Error")</f>
        <v>0</v>
      </c>
      <c r="I23" s="182">
        <f>SUMIFS('1. Staff Costs'!R:R,'1. Staff Costs'!C:C,B23,'1. Staff Costs'!I:I,$H$3,'1. Staff Costs'!Q:Q,"&lt;&gt;Error")</f>
        <v>0</v>
      </c>
      <c r="J23" s="182">
        <f>SUMIFS('1. Staff Costs'!P:P,'1. Staff Costs'!C:C,B23,'1. Staff Costs'!I:I,$J$3,'1. Staff Costs'!Q:Q,"&lt;&gt;Error")</f>
        <v>0</v>
      </c>
      <c r="K23" s="182">
        <f>SUMIFS('1. Staff Costs'!R:R,'1. Staff Costs'!C:C,B23,'1. Staff Costs'!I:I,$J$3,'1. Staff Costs'!Q:Q,"&lt;&gt;Error")</f>
        <v>0</v>
      </c>
      <c r="L23" s="183">
        <f t="shared" si="0"/>
        <v>0</v>
      </c>
      <c r="M23" s="183">
        <f t="shared" si="1"/>
        <v>0</v>
      </c>
    </row>
    <row r="24" spans="2:13" x14ac:dyDescent="0.4">
      <c r="B24" s="208" t="s">
        <v>24</v>
      </c>
      <c r="C24" s="208" t="str">
        <f>IF('Final financial statement'!E42=0,"",'Final financial statement'!E42)</f>
        <v/>
      </c>
      <c r="D24" s="182">
        <f>SUMIFS('1. Staff Costs'!P:P,'1. Staff Costs'!C:C,B24,'1. Staff Costs'!I:I,$D$3,'1. Staff Costs'!Q:Q,"&lt;&gt;Error")</f>
        <v>0</v>
      </c>
      <c r="E24" s="182">
        <f>SUMIFS('1. Staff Costs'!R:R,'1. Staff Costs'!C:C,B24,'1. Staff Costs'!I:I,$D$3,'1. Staff Costs'!Q:Q,"&lt;&gt;Error")</f>
        <v>0</v>
      </c>
      <c r="F24" s="182">
        <f>SUMIFS('1. Staff Costs'!P:P,'1. Staff Costs'!C:C,B24,'1. Staff Costs'!I:I,$F$3,'1. Staff Costs'!Q:Q,"&lt;&gt;Error")</f>
        <v>0</v>
      </c>
      <c r="G24" s="182">
        <f>SUMIFS('1. Staff Costs'!R:R,'1. Staff Costs'!C:C,B24,'1. Staff Costs'!I:I,$F$3,'1. Staff Costs'!Q:Q,"&lt;&gt;Error")</f>
        <v>0</v>
      </c>
      <c r="H24" s="182">
        <f>SUMIFS('1. Staff Costs'!P:P,'1. Staff Costs'!C:C,B24,'1. Staff Costs'!I:I,$H$3,'1. Staff Costs'!Q:Q,"&lt;&gt;Error")</f>
        <v>0</v>
      </c>
      <c r="I24" s="182">
        <f>SUMIFS('1. Staff Costs'!R:R,'1. Staff Costs'!C:C,B24,'1. Staff Costs'!I:I,$H$3,'1. Staff Costs'!Q:Q,"&lt;&gt;Error")</f>
        <v>0</v>
      </c>
      <c r="J24" s="182">
        <f>SUMIFS('1. Staff Costs'!P:P,'1. Staff Costs'!C:C,B24,'1. Staff Costs'!I:I,$J$3,'1. Staff Costs'!Q:Q,"&lt;&gt;Error")</f>
        <v>0</v>
      </c>
      <c r="K24" s="182">
        <f>SUMIFS('1. Staff Costs'!R:R,'1. Staff Costs'!C:C,B24,'1. Staff Costs'!I:I,$J$3,'1. Staff Costs'!Q:Q,"&lt;&gt;Error")</f>
        <v>0</v>
      </c>
      <c r="L24" s="183">
        <f t="shared" si="0"/>
        <v>0</v>
      </c>
      <c r="M24" s="183">
        <f t="shared" si="1"/>
        <v>0</v>
      </c>
    </row>
    <row r="25" spans="2:13" x14ac:dyDescent="0.4">
      <c r="B25" s="208" t="s">
        <v>106</v>
      </c>
      <c r="C25" s="208" t="str">
        <f>IF('Final financial statement'!E43=0,"",'Final financial statement'!E43)</f>
        <v/>
      </c>
      <c r="D25" s="182">
        <f>SUMIFS('1. Staff Costs'!P:P,'1. Staff Costs'!C:C,B25,'1. Staff Costs'!I:I,$D$3,'1. Staff Costs'!Q:Q,"&lt;&gt;Error")</f>
        <v>0</v>
      </c>
      <c r="E25" s="182">
        <f>SUMIFS('1. Staff Costs'!R:R,'1. Staff Costs'!C:C,B25,'1. Staff Costs'!I:I,$D$3,'1. Staff Costs'!Q:Q,"&lt;&gt;Error")</f>
        <v>0</v>
      </c>
      <c r="F25" s="182">
        <f>SUMIFS('1. Staff Costs'!P:P,'1. Staff Costs'!C:C,B25,'1. Staff Costs'!I:I,$F$3,'1. Staff Costs'!Q:Q,"&lt;&gt;Error")</f>
        <v>0</v>
      </c>
      <c r="G25" s="182">
        <f>SUMIFS('1. Staff Costs'!R:R,'1. Staff Costs'!C:C,B25,'1. Staff Costs'!I:I,$F$3,'1. Staff Costs'!Q:Q,"&lt;&gt;Error")</f>
        <v>0</v>
      </c>
      <c r="H25" s="182">
        <f>SUMIFS('1. Staff Costs'!P:P,'1. Staff Costs'!C:C,B25,'1. Staff Costs'!I:I,$H$3,'1. Staff Costs'!Q:Q,"&lt;&gt;Error")</f>
        <v>0</v>
      </c>
      <c r="I25" s="182">
        <f>SUMIFS('1. Staff Costs'!R:R,'1. Staff Costs'!C:C,B25,'1. Staff Costs'!I:I,$H$3,'1. Staff Costs'!Q:Q,"&lt;&gt;Error")</f>
        <v>0</v>
      </c>
      <c r="J25" s="182">
        <f>SUMIFS('1. Staff Costs'!P:P,'1. Staff Costs'!C:C,B25,'1. Staff Costs'!I:I,$J$3,'1. Staff Costs'!Q:Q,"&lt;&gt;Error")</f>
        <v>0</v>
      </c>
      <c r="K25" s="182">
        <f>SUMIFS('1. Staff Costs'!R:R,'1. Staff Costs'!C:C,B25,'1. Staff Costs'!I:I,$J$3,'1. Staff Costs'!Q:Q,"&lt;&gt;Error")</f>
        <v>0</v>
      </c>
      <c r="L25" s="183">
        <f t="shared" si="0"/>
        <v>0</v>
      </c>
      <c r="M25" s="183">
        <f t="shared" si="1"/>
        <v>0</v>
      </c>
    </row>
    <row r="26" spans="2:13" x14ac:dyDescent="0.4">
      <c r="B26" s="208" t="s">
        <v>107</v>
      </c>
      <c r="C26" s="208" t="str">
        <f>IF('Final financial statement'!E44=0,"",'Final financial statement'!E44)</f>
        <v/>
      </c>
      <c r="D26" s="182">
        <f>SUMIFS('1. Staff Costs'!P:P,'1. Staff Costs'!C:C,B26,'1. Staff Costs'!I:I,$D$3,'1. Staff Costs'!Q:Q,"&lt;&gt;Error")</f>
        <v>0</v>
      </c>
      <c r="E26" s="182">
        <f>SUMIFS('1. Staff Costs'!R:R,'1. Staff Costs'!C:C,B26,'1. Staff Costs'!I:I,$D$3,'1. Staff Costs'!Q:Q,"&lt;&gt;Error")</f>
        <v>0</v>
      </c>
      <c r="F26" s="182">
        <f>SUMIFS('1. Staff Costs'!P:P,'1. Staff Costs'!C:C,B26,'1. Staff Costs'!I:I,$F$3,'1. Staff Costs'!Q:Q,"&lt;&gt;Error")</f>
        <v>0</v>
      </c>
      <c r="G26" s="182">
        <f>SUMIFS('1. Staff Costs'!R:R,'1. Staff Costs'!C:C,B26,'1. Staff Costs'!I:I,$F$3,'1. Staff Costs'!Q:Q,"&lt;&gt;Error")</f>
        <v>0</v>
      </c>
      <c r="H26" s="182">
        <f>SUMIFS('1. Staff Costs'!P:P,'1. Staff Costs'!C:C,B26,'1. Staff Costs'!I:I,$H$3,'1. Staff Costs'!Q:Q,"&lt;&gt;Error")</f>
        <v>0</v>
      </c>
      <c r="I26" s="182">
        <f>SUMIFS('1. Staff Costs'!R:R,'1. Staff Costs'!C:C,B26,'1. Staff Costs'!I:I,$H$3,'1. Staff Costs'!Q:Q,"&lt;&gt;Error")</f>
        <v>0</v>
      </c>
      <c r="J26" s="182">
        <f>SUMIFS('1. Staff Costs'!P:P,'1. Staff Costs'!C:C,B26,'1. Staff Costs'!I:I,$J$3,'1. Staff Costs'!Q:Q,"&lt;&gt;Error")</f>
        <v>0</v>
      </c>
      <c r="K26" s="182">
        <f>SUMIFS('1. Staff Costs'!R:R,'1. Staff Costs'!C:C,B26,'1. Staff Costs'!I:I,$J$3,'1. Staff Costs'!Q:Q,"&lt;&gt;Error")</f>
        <v>0</v>
      </c>
      <c r="L26" s="183">
        <f t="shared" si="0"/>
        <v>0</v>
      </c>
      <c r="M26" s="183">
        <f t="shared" si="1"/>
        <v>0</v>
      </c>
    </row>
    <row r="27" spans="2:13" x14ac:dyDescent="0.4">
      <c r="B27" s="208" t="s">
        <v>108</v>
      </c>
      <c r="C27" s="208" t="str">
        <f>IF('Final financial statement'!E45=0,"",'Final financial statement'!E45)</f>
        <v/>
      </c>
      <c r="D27" s="182">
        <f>SUMIFS('1. Staff Costs'!P:P,'1. Staff Costs'!C:C,B27,'1. Staff Costs'!I:I,$D$3,'1. Staff Costs'!Q:Q,"&lt;&gt;Error")</f>
        <v>0</v>
      </c>
      <c r="E27" s="182">
        <f>SUMIFS('1. Staff Costs'!R:R,'1. Staff Costs'!C:C,B27,'1. Staff Costs'!I:I,$D$3,'1. Staff Costs'!Q:Q,"&lt;&gt;Error")</f>
        <v>0</v>
      </c>
      <c r="F27" s="182">
        <f>SUMIFS('1. Staff Costs'!P:P,'1. Staff Costs'!C:C,B27,'1. Staff Costs'!I:I,$F$3,'1. Staff Costs'!Q:Q,"&lt;&gt;Error")</f>
        <v>0</v>
      </c>
      <c r="G27" s="182">
        <f>SUMIFS('1. Staff Costs'!R:R,'1. Staff Costs'!C:C,B27,'1. Staff Costs'!I:I,$F$3,'1. Staff Costs'!Q:Q,"&lt;&gt;Error")</f>
        <v>0</v>
      </c>
      <c r="H27" s="182">
        <f>SUMIFS('1. Staff Costs'!P:P,'1. Staff Costs'!C:C,B27,'1. Staff Costs'!I:I,$H$3,'1. Staff Costs'!Q:Q,"&lt;&gt;Error")</f>
        <v>0</v>
      </c>
      <c r="I27" s="182">
        <f>SUMIFS('1. Staff Costs'!R:R,'1. Staff Costs'!C:C,B27,'1. Staff Costs'!I:I,$H$3,'1. Staff Costs'!Q:Q,"&lt;&gt;Error")</f>
        <v>0</v>
      </c>
      <c r="J27" s="182">
        <f>SUMIFS('1. Staff Costs'!P:P,'1. Staff Costs'!C:C,B27,'1. Staff Costs'!I:I,$J$3,'1. Staff Costs'!Q:Q,"&lt;&gt;Error")</f>
        <v>0</v>
      </c>
      <c r="K27" s="182">
        <f>SUMIFS('1. Staff Costs'!R:R,'1. Staff Costs'!C:C,B27,'1. Staff Costs'!I:I,$J$3,'1. Staff Costs'!Q:Q,"&lt;&gt;Error")</f>
        <v>0</v>
      </c>
      <c r="L27" s="183">
        <f t="shared" si="0"/>
        <v>0</v>
      </c>
      <c r="M27" s="183">
        <f t="shared" si="1"/>
        <v>0</v>
      </c>
    </row>
    <row r="28" spans="2:13" x14ac:dyDescent="0.4">
      <c r="B28" s="208" t="s">
        <v>109</v>
      </c>
      <c r="C28" s="208" t="str">
        <f>IF('Final financial statement'!E46=0,"",'Final financial statement'!E46)</f>
        <v/>
      </c>
      <c r="D28" s="182">
        <f>SUMIFS('1. Staff Costs'!P:P,'1. Staff Costs'!C:C,B28,'1. Staff Costs'!I:I,$D$3,'1. Staff Costs'!Q:Q,"&lt;&gt;Error")</f>
        <v>0</v>
      </c>
      <c r="E28" s="182">
        <f>SUMIFS('1. Staff Costs'!R:R,'1. Staff Costs'!C:C,B28,'1. Staff Costs'!I:I,$D$3,'1. Staff Costs'!Q:Q,"&lt;&gt;Error")</f>
        <v>0</v>
      </c>
      <c r="F28" s="182">
        <f>SUMIFS('1. Staff Costs'!P:P,'1. Staff Costs'!C:C,B28,'1. Staff Costs'!I:I,$F$3,'1. Staff Costs'!Q:Q,"&lt;&gt;Error")</f>
        <v>0</v>
      </c>
      <c r="G28" s="182">
        <f>SUMIFS('1. Staff Costs'!R:R,'1. Staff Costs'!C:C,B28,'1. Staff Costs'!I:I,$F$3,'1. Staff Costs'!Q:Q,"&lt;&gt;Error")</f>
        <v>0</v>
      </c>
      <c r="H28" s="182">
        <f>SUMIFS('1. Staff Costs'!P:P,'1. Staff Costs'!C:C,B28,'1. Staff Costs'!I:I,$H$3,'1. Staff Costs'!Q:Q,"&lt;&gt;Error")</f>
        <v>0</v>
      </c>
      <c r="I28" s="182">
        <f>SUMIFS('1. Staff Costs'!R:R,'1. Staff Costs'!C:C,B28,'1. Staff Costs'!I:I,$H$3,'1. Staff Costs'!Q:Q,"&lt;&gt;Error")</f>
        <v>0</v>
      </c>
      <c r="J28" s="182">
        <f>SUMIFS('1. Staff Costs'!P:P,'1. Staff Costs'!C:C,B28,'1. Staff Costs'!I:I,$J$3,'1. Staff Costs'!Q:Q,"&lt;&gt;Error")</f>
        <v>0</v>
      </c>
      <c r="K28" s="182">
        <f>SUMIFS('1. Staff Costs'!R:R,'1. Staff Costs'!C:C,B28,'1. Staff Costs'!I:I,$J$3,'1. Staff Costs'!Q:Q,"&lt;&gt;Error")</f>
        <v>0</v>
      </c>
      <c r="L28" s="183">
        <f t="shared" si="0"/>
        <v>0</v>
      </c>
      <c r="M28" s="183">
        <f t="shared" si="1"/>
        <v>0</v>
      </c>
    </row>
    <row r="29" spans="2:13" x14ac:dyDescent="0.4">
      <c r="B29" s="208" t="s">
        <v>110</v>
      </c>
      <c r="C29" s="208" t="str">
        <f>IF('Final financial statement'!E47=0,"",'Final financial statement'!E47)</f>
        <v/>
      </c>
      <c r="D29" s="182">
        <f>SUMIFS('1. Staff Costs'!P:P,'1. Staff Costs'!C:C,B29,'1. Staff Costs'!I:I,$D$3,'1. Staff Costs'!Q:Q,"&lt;&gt;Error")</f>
        <v>0</v>
      </c>
      <c r="E29" s="182">
        <f>SUMIFS('1. Staff Costs'!R:R,'1. Staff Costs'!C:C,B29,'1. Staff Costs'!I:I,$D$3,'1. Staff Costs'!Q:Q,"&lt;&gt;Error")</f>
        <v>0</v>
      </c>
      <c r="F29" s="182">
        <f>SUMIFS('1. Staff Costs'!P:P,'1. Staff Costs'!C:C,B29,'1. Staff Costs'!I:I,$F$3,'1. Staff Costs'!Q:Q,"&lt;&gt;Error")</f>
        <v>0</v>
      </c>
      <c r="G29" s="182">
        <f>SUMIFS('1. Staff Costs'!R:R,'1. Staff Costs'!C:C,B29,'1. Staff Costs'!I:I,$F$3,'1. Staff Costs'!Q:Q,"&lt;&gt;Error")</f>
        <v>0</v>
      </c>
      <c r="H29" s="182">
        <f>SUMIFS('1. Staff Costs'!P:P,'1. Staff Costs'!C:C,B29,'1. Staff Costs'!I:I,$H$3,'1. Staff Costs'!Q:Q,"&lt;&gt;Error")</f>
        <v>0</v>
      </c>
      <c r="I29" s="182">
        <f>SUMIFS('1. Staff Costs'!R:R,'1. Staff Costs'!C:C,B29,'1. Staff Costs'!I:I,$H$3,'1. Staff Costs'!Q:Q,"&lt;&gt;Error")</f>
        <v>0</v>
      </c>
      <c r="J29" s="182">
        <f>SUMIFS('1. Staff Costs'!P:P,'1. Staff Costs'!C:C,B29,'1. Staff Costs'!I:I,$J$3,'1. Staff Costs'!Q:Q,"&lt;&gt;Error")</f>
        <v>0</v>
      </c>
      <c r="K29" s="182">
        <f>SUMIFS('1. Staff Costs'!R:R,'1. Staff Costs'!C:C,B29,'1. Staff Costs'!I:I,$J$3,'1. Staff Costs'!Q:Q,"&lt;&gt;Error")</f>
        <v>0</v>
      </c>
      <c r="L29" s="183">
        <f t="shared" si="0"/>
        <v>0</v>
      </c>
      <c r="M29" s="183">
        <f t="shared" si="1"/>
        <v>0</v>
      </c>
    </row>
    <row r="30" spans="2:13" x14ac:dyDescent="0.4">
      <c r="B30" s="208" t="s">
        <v>111</v>
      </c>
      <c r="C30" s="208" t="str">
        <f>IF('Final financial statement'!E48=0,"",'Final financial statement'!E48)</f>
        <v/>
      </c>
      <c r="D30" s="182">
        <f>SUMIFS('1. Staff Costs'!P:P,'1. Staff Costs'!C:C,B30,'1. Staff Costs'!I:I,$D$3,'1. Staff Costs'!Q:Q,"&lt;&gt;Error")</f>
        <v>0</v>
      </c>
      <c r="E30" s="182">
        <f>SUMIFS('1. Staff Costs'!R:R,'1. Staff Costs'!C:C,B30,'1. Staff Costs'!I:I,$D$3,'1. Staff Costs'!Q:Q,"&lt;&gt;Error")</f>
        <v>0</v>
      </c>
      <c r="F30" s="182">
        <f>SUMIFS('1. Staff Costs'!P:P,'1. Staff Costs'!C:C,B30,'1. Staff Costs'!I:I,$F$3,'1. Staff Costs'!Q:Q,"&lt;&gt;Error")</f>
        <v>0</v>
      </c>
      <c r="G30" s="182">
        <f>SUMIFS('1. Staff Costs'!R:R,'1. Staff Costs'!C:C,B30,'1. Staff Costs'!I:I,$F$3,'1. Staff Costs'!Q:Q,"&lt;&gt;Error")</f>
        <v>0</v>
      </c>
      <c r="H30" s="182">
        <f>SUMIFS('1. Staff Costs'!P:P,'1. Staff Costs'!C:C,B30,'1. Staff Costs'!I:I,$H$3,'1. Staff Costs'!Q:Q,"&lt;&gt;Error")</f>
        <v>0</v>
      </c>
      <c r="I30" s="182">
        <f>SUMIFS('1. Staff Costs'!R:R,'1. Staff Costs'!C:C,B30,'1. Staff Costs'!I:I,$H$3,'1. Staff Costs'!Q:Q,"&lt;&gt;Error")</f>
        <v>0</v>
      </c>
      <c r="J30" s="182">
        <f>SUMIFS('1. Staff Costs'!P:P,'1. Staff Costs'!C:C,B30,'1. Staff Costs'!I:I,$J$3,'1. Staff Costs'!Q:Q,"&lt;&gt;Error")</f>
        <v>0</v>
      </c>
      <c r="K30" s="182">
        <f>SUMIFS('1. Staff Costs'!R:R,'1. Staff Costs'!C:C,B30,'1. Staff Costs'!I:I,$J$3,'1. Staff Costs'!Q:Q,"&lt;&gt;Error")</f>
        <v>0</v>
      </c>
      <c r="L30" s="183">
        <f t="shared" si="0"/>
        <v>0</v>
      </c>
      <c r="M30" s="183">
        <f t="shared" si="1"/>
        <v>0</v>
      </c>
    </row>
    <row r="31" spans="2:13" x14ac:dyDescent="0.4">
      <c r="B31" s="208" t="s">
        <v>112</v>
      </c>
      <c r="C31" s="208" t="str">
        <f>IF('Final financial statement'!E49=0,"",'Final financial statement'!E49)</f>
        <v/>
      </c>
      <c r="D31" s="182">
        <f>SUMIFS('1. Staff Costs'!P:P,'1. Staff Costs'!C:C,B31,'1. Staff Costs'!I:I,$D$3,'1. Staff Costs'!Q:Q,"&lt;&gt;Error")</f>
        <v>0</v>
      </c>
      <c r="E31" s="182">
        <f>SUMIFS('1. Staff Costs'!R:R,'1. Staff Costs'!C:C,B31,'1. Staff Costs'!I:I,$D$3,'1. Staff Costs'!Q:Q,"&lt;&gt;Error")</f>
        <v>0</v>
      </c>
      <c r="F31" s="182">
        <f>SUMIFS('1. Staff Costs'!P:P,'1. Staff Costs'!C:C,B31,'1. Staff Costs'!I:I,$F$3,'1. Staff Costs'!Q:Q,"&lt;&gt;Error")</f>
        <v>0</v>
      </c>
      <c r="G31" s="182">
        <f>SUMIFS('1. Staff Costs'!R:R,'1. Staff Costs'!C:C,B31,'1. Staff Costs'!I:I,$F$3,'1. Staff Costs'!Q:Q,"&lt;&gt;Error")</f>
        <v>0</v>
      </c>
      <c r="H31" s="182">
        <f>SUMIFS('1. Staff Costs'!P:P,'1. Staff Costs'!C:C,B31,'1. Staff Costs'!I:I,$H$3,'1. Staff Costs'!Q:Q,"&lt;&gt;Error")</f>
        <v>0</v>
      </c>
      <c r="I31" s="182">
        <f>SUMIFS('1. Staff Costs'!R:R,'1. Staff Costs'!C:C,B31,'1. Staff Costs'!I:I,$H$3,'1. Staff Costs'!Q:Q,"&lt;&gt;Error")</f>
        <v>0</v>
      </c>
      <c r="J31" s="182">
        <f>SUMIFS('1. Staff Costs'!P:P,'1. Staff Costs'!C:C,B31,'1. Staff Costs'!I:I,$J$3,'1. Staff Costs'!Q:Q,"&lt;&gt;Error")</f>
        <v>0</v>
      </c>
      <c r="K31" s="182">
        <f>SUMIFS('1. Staff Costs'!R:R,'1. Staff Costs'!C:C,B31,'1. Staff Costs'!I:I,$J$3,'1. Staff Costs'!Q:Q,"&lt;&gt;Error")</f>
        <v>0</v>
      </c>
      <c r="L31" s="183">
        <f t="shared" si="0"/>
        <v>0</v>
      </c>
      <c r="M31" s="183">
        <f t="shared" si="1"/>
        <v>0</v>
      </c>
    </row>
    <row r="32" spans="2:13" x14ac:dyDescent="0.4">
      <c r="B32" s="208" t="s">
        <v>113</v>
      </c>
      <c r="C32" s="208" t="str">
        <f>IF('Final financial statement'!E50=0,"",'Final financial statement'!E50)</f>
        <v/>
      </c>
      <c r="D32" s="182">
        <f>SUMIFS('1. Staff Costs'!P:P,'1. Staff Costs'!C:C,B32,'1. Staff Costs'!I:I,$D$3,'1. Staff Costs'!Q:Q,"&lt;&gt;Error")</f>
        <v>0</v>
      </c>
      <c r="E32" s="182">
        <f>SUMIFS('1. Staff Costs'!R:R,'1. Staff Costs'!C:C,B32,'1. Staff Costs'!I:I,$D$3,'1. Staff Costs'!Q:Q,"&lt;&gt;Error")</f>
        <v>0</v>
      </c>
      <c r="F32" s="182">
        <f>SUMIFS('1. Staff Costs'!P:P,'1. Staff Costs'!C:C,B32,'1. Staff Costs'!I:I,$F$3,'1. Staff Costs'!Q:Q,"&lt;&gt;Error")</f>
        <v>0</v>
      </c>
      <c r="G32" s="182">
        <f>SUMIFS('1. Staff Costs'!R:R,'1. Staff Costs'!C:C,B32,'1. Staff Costs'!I:I,$F$3,'1. Staff Costs'!Q:Q,"&lt;&gt;Error")</f>
        <v>0</v>
      </c>
      <c r="H32" s="182">
        <f>SUMIFS('1. Staff Costs'!P:P,'1. Staff Costs'!C:C,B32,'1. Staff Costs'!I:I,$H$3,'1. Staff Costs'!Q:Q,"&lt;&gt;Error")</f>
        <v>0</v>
      </c>
      <c r="I32" s="182">
        <f>SUMIFS('1. Staff Costs'!R:R,'1. Staff Costs'!C:C,B32,'1. Staff Costs'!I:I,$H$3,'1. Staff Costs'!Q:Q,"&lt;&gt;Error")</f>
        <v>0</v>
      </c>
      <c r="J32" s="182">
        <f>SUMIFS('1. Staff Costs'!P:P,'1. Staff Costs'!C:C,B32,'1. Staff Costs'!I:I,$J$3,'1. Staff Costs'!Q:Q,"&lt;&gt;Error")</f>
        <v>0</v>
      </c>
      <c r="K32" s="182">
        <f>SUMIFS('1. Staff Costs'!R:R,'1. Staff Costs'!C:C,B32,'1. Staff Costs'!I:I,$J$3,'1. Staff Costs'!Q:Q,"&lt;&gt;Error")</f>
        <v>0</v>
      </c>
      <c r="L32" s="183">
        <f t="shared" si="0"/>
        <v>0</v>
      </c>
      <c r="M32" s="183">
        <f t="shared" si="1"/>
        <v>0</v>
      </c>
    </row>
    <row r="33" spans="2:13" x14ac:dyDescent="0.4">
      <c r="B33" s="208" t="s">
        <v>114</v>
      </c>
      <c r="C33" s="208" t="str">
        <f>IF('Final financial statement'!E51=0,"",'Final financial statement'!E51)</f>
        <v/>
      </c>
      <c r="D33" s="182">
        <f>SUMIFS('1. Staff Costs'!P:P,'1. Staff Costs'!C:C,B33,'1. Staff Costs'!I:I,$D$3,'1. Staff Costs'!Q:Q,"&lt;&gt;Error")</f>
        <v>0</v>
      </c>
      <c r="E33" s="182">
        <f>SUMIFS('1. Staff Costs'!R:R,'1. Staff Costs'!C:C,B33,'1. Staff Costs'!I:I,$D$3,'1. Staff Costs'!Q:Q,"&lt;&gt;Error")</f>
        <v>0</v>
      </c>
      <c r="F33" s="182">
        <f>SUMIFS('1. Staff Costs'!P:P,'1. Staff Costs'!C:C,B33,'1. Staff Costs'!I:I,$F$3,'1. Staff Costs'!Q:Q,"&lt;&gt;Error")</f>
        <v>0</v>
      </c>
      <c r="G33" s="182">
        <f>SUMIFS('1. Staff Costs'!R:R,'1. Staff Costs'!C:C,B33,'1. Staff Costs'!I:I,$F$3,'1. Staff Costs'!Q:Q,"&lt;&gt;Error")</f>
        <v>0</v>
      </c>
      <c r="H33" s="182">
        <f>SUMIFS('1. Staff Costs'!P:P,'1. Staff Costs'!C:C,B33,'1. Staff Costs'!I:I,$H$3,'1. Staff Costs'!Q:Q,"&lt;&gt;Error")</f>
        <v>0</v>
      </c>
      <c r="I33" s="182">
        <f>SUMIFS('1. Staff Costs'!R:R,'1. Staff Costs'!C:C,B33,'1. Staff Costs'!I:I,$H$3,'1. Staff Costs'!Q:Q,"&lt;&gt;Error")</f>
        <v>0</v>
      </c>
      <c r="J33" s="182">
        <f>SUMIFS('1. Staff Costs'!P:P,'1. Staff Costs'!C:C,B33,'1. Staff Costs'!I:I,$J$3,'1. Staff Costs'!Q:Q,"&lt;&gt;Error")</f>
        <v>0</v>
      </c>
      <c r="K33" s="182">
        <f>SUMIFS('1. Staff Costs'!R:R,'1. Staff Costs'!C:C,B33,'1. Staff Costs'!I:I,$J$3,'1. Staff Costs'!Q:Q,"&lt;&gt;Error")</f>
        <v>0</v>
      </c>
      <c r="L33" s="183">
        <f t="shared" si="0"/>
        <v>0</v>
      </c>
      <c r="M33" s="183">
        <f t="shared" si="1"/>
        <v>0</v>
      </c>
    </row>
    <row r="34" spans="2:13" x14ac:dyDescent="0.4">
      <c r="B34" s="208" t="s">
        <v>115</v>
      </c>
      <c r="C34" s="208" t="str">
        <f>IF('Final financial statement'!E52=0,"",'Final financial statement'!E52)</f>
        <v/>
      </c>
      <c r="D34" s="182">
        <f>SUMIFS('1. Staff Costs'!P:P,'1. Staff Costs'!C:C,B34,'1. Staff Costs'!I:I,$D$3,'1. Staff Costs'!Q:Q,"&lt;&gt;Error")</f>
        <v>0</v>
      </c>
      <c r="E34" s="182">
        <f>SUMIFS('1. Staff Costs'!R:R,'1. Staff Costs'!C:C,B34,'1. Staff Costs'!I:I,$D$3,'1. Staff Costs'!Q:Q,"&lt;&gt;Error")</f>
        <v>0</v>
      </c>
      <c r="F34" s="182">
        <f>SUMIFS('1. Staff Costs'!P:P,'1. Staff Costs'!C:C,B34,'1. Staff Costs'!I:I,$F$3,'1. Staff Costs'!Q:Q,"&lt;&gt;Error")</f>
        <v>0</v>
      </c>
      <c r="G34" s="182">
        <f>SUMIFS('1. Staff Costs'!R:R,'1. Staff Costs'!C:C,B34,'1. Staff Costs'!I:I,$F$3,'1. Staff Costs'!Q:Q,"&lt;&gt;Error")</f>
        <v>0</v>
      </c>
      <c r="H34" s="182">
        <f>SUMIFS('1. Staff Costs'!P:P,'1. Staff Costs'!C:C,B34,'1. Staff Costs'!I:I,$H$3,'1. Staff Costs'!Q:Q,"&lt;&gt;Error")</f>
        <v>0</v>
      </c>
      <c r="I34" s="182">
        <f>SUMIFS('1. Staff Costs'!R:R,'1. Staff Costs'!C:C,B34,'1. Staff Costs'!I:I,$H$3,'1. Staff Costs'!Q:Q,"&lt;&gt;Error")</f>
        <v>0</v>
      </c>
      <c r="J34" s="182">
        <f>SUMIFS('1. Staff Costs'!P:P,'1. Staff Costs'!C:C,B34,'1. Staff Costs'!I:I,$J$3,'1. Staff Costs'!Q:Q,"&lt;&gt;Error")</f>
        <v>0</v>
      </c>
      <c r="K34" s="182">
        <f>SUMIFS('1. Staff Costs'!R:R,'1. Staff Costs'!C:C,B34,'1. Staff Costs'!I:I,$J$3,'1. Staff Costs'!Q:Q,"&lt;&gt;Error")</f>
        <v>0</v>
      </c>
      <c r="L34" s="183">
        <f t="shared" si="0"/>
        <v>0</v>
      </c>
      <c r="M34" s="183">
        <f t="shared" si="1"/>
        <v>0</v>
      </c>
    </row>
    <row r="35" spans="2:13" x14ac:dyDescent="0.4">
      <c r="B35" s="208" t="s">
        <v>116</v>
      </c>
      <c r="C35" s="208" t="str">
        <f>IF('Final financial statement'!E53=0,"",'Final financial statement'!E53)</f>
        <v/>
      </c>
      <c r="D35" s="182">
        <f>SUMIFS('1. Staff Costs'!P:P,'1. Staff Costs'!C:C,B35,'1. Staff Costs'!I:I,$D$3,'1. Staff Costs'!Q:Q,"&lt;&gt;Error")</f>
        <v>0</v>
      </c>
      <c r="E35" s="182">
        <f>SUMIFS('1. Staff Costs'!R:R,'1. Staff Costs'!C:C,B35,'1. Staff Costs'!I:I,$D$3,'1. Staff Costs'!Q:Q,"&lt;&gt;Error")</f>
        <v>0</v>
      </c>
      <c r="F35" s="182">
        <f>SUMIFS('1. Staff Costs'!P:P,'1. Staff Costs'!C:C,B35,'1. Staff Costs'!I:I,$F$3,'1. Staff Costs'!Q:Q,"&lt;&gt;Error")</f>
        <v>0</v>
      </c>
      <c r="G35" s="182">
        <f>SUMIFS('1. Staff Costs'!R:R,'1. Staff Costs'!C:C,B35,'1. Staff Costs'!I:I,$F$3,'1. Staff Costs'!Q:Q,"&lt;&gt;Error")</f>
        <v>0</v>
      </c>
      <c r="H35" s="182">
        <f>SUMIFS('1. Staff Costs'!P:P,'1. Staff Costs'!C:C,B35,'1. Staff Costs'!I:I,$H$3,'1. Staff Costs'!Q:Q,"&lt;&gt;Error")</f>
        <v>0</v>
      </c>
      <c r="I35" s="182">
        <f>SUMIFS('1. Staff Costs'!R:R,'1. Staff Costs'!C:C,B35,'1. Staff Costs'!I:I,$H$3,'1. Staff Costs'!Q:Q,"&lt;&gt;Error")</f>
        <v>0</v>
      </c>
      <c r="J35" s="182">
        <f>SUMIFS('1. Staff Costs'!P:P,'1. Staff Costs'!C:C,B35,'1. Staff Costs'!I:I,$J$3,'1. Staff Costs'!Q:Q,"&lt;&gt;Error")</f>
        <v>0</v>
      </c>
      <c r="K35" s="182">
        <f>SUMIFS('1. Staff Costs'!R:R,'1. Staff Costs'!C:C,B35,'1. Staff Costs'!I:I,$J$3,'1. Staff Costs'!Q:Q,"&lt;&gt;Error")</f>
        <v>0</v>
      </c>
      <c r="L35" s="183">
        <f t="shared" si="0"/>
        <v>0</v>
      </c>
      <c r="M35" s="183">
        <f t="shared" si="1"/>
        <v>0</v>
      </c>
    </row>
    <row r="36" spans="2:13" x14ac:dyDescent="0.4">
      <c r="B36" s="208" t="s">
        <v>117</v>
      </c>
      <c r="C36" s="208" t="str">
        <f>IF('Final financial statement'!E54=0,"",'Final financial statement'!E54)</f>
        <v/>
      </c>
      <c r="D36" s="182">
        <f>SUMIFS('1. Staff Costs'!P:P,'1. Staff Costs'!C:C,B36,'1. Staff Costs'!I:I,$D$3,'1. Staff Costs'!Q:Q,"&lt;&gt;Error")</f>
        <v>0</v>
      </c>
      <c r="E36" s="182">
        <f>SUMIFS('1. Staff Costs'!R:R,'1. Staff Costs'!C:C,B36,'1. Staff Costs'!I:I,$D$3,'1. Staff Costs'!Q:Q,"&lt;&gt;Error")</f>
        <v>0</v>
      </c>
      <c r="F36" s="182">
        <f>SUMIFS('1. Staff Costs'!P:P,'1. Staff Costs'!C:C,B36,'1. Staff Costs'!I:I,$F$3,'1. Staff Costs'!Q:Q,"&lt;&gt;Error")</f>
        <v>0</v>
      </c>
      <c r="G36" s="182">
        <f>SUMIFS('1. Staff Costs'!R:R,'1. Staff Costs'!C:C,B36,'1. Staff Costs'!I:I,$F$3,'1. Staff Costs'!Q:Q,"&lt;&gt;Error")</f>
        <v>0</v>
      </c>
      <c r="H36" s="182">
        <f>SUMIFS('1. Staff Costs'!P:P,'1. Staff Costs'!C:C,B36,'1. Staff Costs'!I:I,$H$3,'1. Staff Costs'!Q:Q,"&lt;&gt;Error")</f>
        <v>0</v>
      </c>
      <c r="I36" s="182">
        <f>SUMIFS('1. Staff Costs'!R:R,'1. Staff Costs'!C:C,B36,'1. Staff Costs'!I:I,$H$3,'1. Staff Costs'!Q:Q,"&lt;&gt;Error")</f>
        <v>0</v>
      </c>
      <c r="J36" s="182">
        <f>SUMIFS('1. Staff Costs'!P:P,'1. Staff Costs'!C:C,B36,'1. Staff Costs'!I:I,$J$3,'1. Staff Costs'!Q:Q,"&lt;&gt;Error")</f>
        <v>0</v>
      </c>
      <c r="K36" s="182">
        <f>SUMIFS('1. Staff Costs'!R:R,'1. Staff Costs'!C:C,B36,'1. Staff Costs'!I:I,$J$3,'1. Staff Costs'!Q:Q,"&lt;&gt;Error")</f>
        <v>0</v>
      </c>
      <c r="L36" s="183">
        <f t="shared" si="0"/>
        <v>0</v>
      </c>
      <c r="M36" s="183">
        <f t="shared" si="1"/>
        <v>0</v>
      </c>
    </row>
    <row r="37" spans="2:13" x14ac:dyDescent="0.4">
      <c r="B37" s="208" t="s">
        <v>118</v>
      </c>
      <c r="C37" s="208" t="str">
        <f>IF('Final financial statement'!E55=0,"",'Final financial statement'!E55)</f>
        <v/>
      </c>
      <c r="D37" s="182">
        <f>SUMIFS('1. Staff Costs'!P:P,'1. Staff Costs'!C:C,B37,'1. Staff Costs'!I:I,$D$3,'1. Staff Costs'!Q:Q,"&lt;&gt;Error")</f>
        <v>0</v>
      </c>
      <c r="E37" s="182">
        <f>SUMIFS('1. Staff Costs'!R:R,'1. Staff Costs'!C:C,B37,'1. Staff Costs'!I:I,$D$3,'1. Staff Costs'!Q:Q,"&lt;&gt;Error")</f>
        <v>0</v>
      </c>
      <c r="F37" s="182">
        <f>SUMIFS('1. Staff Costs'!P:P,'1. Staff Costs'!C:C,B37,'1. Staff Costs'!I:I,$F$3,'1. Staff Costs'!Q:Q,"&lt;&gt;Error")</f>
        <v>0</v>
      </c>
      <c r="G37" s="182">
        <f>SUMIFS('1. Staff Costs'!R:R,'1. Staff Costs'!C:C,B37,'1. Staff Costs'!I:I,$F$3,'1. Staff Costs'!Q:Q,"&lt;&gt;Error")</f>
        <v>0</v>
      </c>
      <c r="H37" s="182">
        <f>SUMIFS('1. Staff Costs'!P:P,'1. Staff Costs'!C:C,B37,'1. Staff Costs'!I:I,$H$3,'1. Staff Costs'!Q:Q,"&lt;&gt;Error")</f>
        <v>0</v>
      </c>
      <c r="I37" s="182">
        <f>SUMIFS('1. Staff Costs'!R:R,'1. Staff Costs'!C:C,B37,'1. Staff Costs'!I:I,$H$3,'1. Staff Costs'!Q:Q,"&lt;&gt;Error")</f>
        <v>0</v>
      </c>
      <c r="J37" s="182">
        <f>SUMIFS('1. Staff Costs'!P:P,'1. Staff Costs'!C:C,B37,'1. Staff Costs'!I:I,$J$3,'1. Staff Costs'!Q:Q,"&lt;&gt;Error")</f>
        <v>0</v>
      </c>
      <c r="K37" s="182">
        <f>SUMIFS('1. Staff Costs'!R:R,'1. Staff Costs'!C:C,B37,'1. Staff Costs'!I:I,$J$3,'1. Staff Costs'!Q:Q,"&lt;&gt;Error")</f>
        <v>0</v>
      </c>
      <c r="L37" s="183">
        <f t="shared" si="0"/>
        <v>0</v>
      </c>
      <c r="M37" s="183">
        <f t="shared" si="1"/>
        <v>0</v>
      </c>
    </row>
    <row r="38" spans="2:13" x14ac:dyDescent="0.4">
      <c r="B38" s="208" t="s">
        <v>119</v>
      </c>
      <c r="C38" s="208" t="str">
        <f>IF('Final financial statement'!E56=0,"",'Final financial statement'!E56)</f>
        <v/>
      </c>
      <c r="D38" s="182">
        <f>SUMIFS('1. Staff Costs'!P:P,'1. Staff Costs'!C:C,B38,'1. Staff Costs'!I:I,$D$3,'1. Staff Costs'!Q:Q,"&lt;&gt;Error")</f>
        <v>0</v>
      </c>
      <c r="E38" s="182">
        <f>SUMIFS('1. Staff Costs'!R:R,'1. Staff Costs'!C:C,B38,'1. Staff Costs'!I:I,$D$3,'1. Staff Costs'!Q:Q,"&lt;&gt;Error")</f>
        <v>0</v>
      </c>
      <c r="F38" s="182">
        <f>SUMIFS('1. Staff Costs'!P:P,'1. Staff Costs'!C:C,B38,'1. Staff Costs'!I:I,$F$3,'1. Staff Costs'!Q:Q,"&lt;&gt;Error")</f>
        <v>0</v>
      </c>
      <c r="G38" s="182">
        <f>SUMIFS('1. Staff Costs'!R:R,'1. Staff Costs'!C:C,B38,'1. Staff Costs'!I:I,$F$3,'1. Staff Costs'!Q:Q,"&lt;&gt;Error")</f>
        <v>0</v>
      </c>
      <c r="H38" s="182">
        <f>SUMIFS('1. Staff Costs'!P:P,'1. Staff Costs'!C:C,B38,'1. Staff Costs'!I:I,$H$3,'1. Staff Costs'!Q:Q,"&lt;&gt;Error")</f>
        <v>0</v>
      </c>
      <c r="I38" s="182">
        <f>SUMIFS('1. Staff Costs'!R:R,'1. Staff Costs'!C:C,B38,'1. Staff Costs'!I:I,$H$3,'1. Staff Costs'!Q:Q,"&lt;&gt;Error")</f>
        <v>0</v>
      </c>
      <c r="J38" s="182">
        <f>SUMIFS('1. Staff Costs'!P:P,'1. Staff Costs'!C:C,B38,'1. Staff Costs'!I:I,$J$3,'1. Staff Costs'!Q:Q,"&lt;&gt;Error")</f>
        <v>0</v>
      </c>
      <c r="K38" s="182">
        <f>SUMIFS('1. Staff Costs'!R:R,'1. Staff Costs'!C:C,B38,'1. Staff Costs'!I:I,$J$3,'1. Staff Costs'!Q:Q,"&lt;&gt;Error")</f>
        <v>0</v>
      </c>
      <c r="L38" s="183">
        <f t="shared" si="0"/>
        <v>0</v>
      </c>
      <c r="M38" s="183">
        <f t="shared" si="1"/>
        <v>0</v>
      </c>
    </row>
    <row r="39" spans="2:13" x14ac:dyDescent="0.4">
      <c r="B39" s="208" t="s">
        <v>120</v>
      </c>
      <c r="C39" s="208" t="str">
        <f>IF('Final financial statement'!E57=0,"",'Final financial statement'!E57)</f>
        <v/>
      </c>
      <c r="D39" s="182">
        <f>SUMIFS('1. Staff Costs'!P:P,'1. Staff Costs'!C:C,B39,'1. Staff Costs'!I:I,$D$3,'1. Staff Costs'!Q:Q,"&lt;&gt;Error")</f>
        <v>0</v>
      </c>
      <c r="E39" s="182">
        <f>SUMIFS('1. Staff Costs'!R:R,'1. Staff Costs'!C:C,B39,'1. Staff Costs'!I:I,$D$3,'1. Staff Costs'!Q:Q,"&lt;&gt;Error")</f>
        <v>0</v>
      </c>
      <c r="F39" s="182">
        <f>SUMIFS('1. Staff Costs'!P:P,'1. Staff Costs'!C:C,B39,'1. Staff Costs'!I:I,$F$3,'1. Staff Costs'!Q:Q,"&lt;&gt;Error")</f>
        <v>0</v>
      </c>
      <c r="G39" s="182">
        <f>SUMIFS('1. Staff Costs'!R:R,'1. Staff Costs'!C:C,B39,'1. Staff Costs'!I:I,$F$3,'1. Staff Costs'!Q:Q,"&lt;&gt;Error")</f>
        <v>0</v>
      </c>
      <c r="H39" s="182">
        <f>SUMIFS('1. Staff Costs'!P:P,'1. Staff Costs'!C:C,B39,'1. Staff Costs'!I:I,$H$3,'1. Staff Costs'!Q:Q,"&lt;&gt;Error")</f>
        <v>0</v>
      </c>
      <c r="I39" s="182">
        <f>SUMIFS('1. Staff Costs'!R:R,'1. Staff Costs'!C:C,B39,'1. Staff Costs'!I:I,$H$3,'1. Staff Costs'!Q:Q,"&lt;&gt;Error")</f>
        <v>0</v>
      </c>
      <c r="J39" s="182">
        <f>SUMIFS('1. Staff Costs'!P:P,'1. Staff Costs'!C:C,B39,'1. Staff Costs'!I:I,$J$3,'1. Staff Costs'!Q:Q,"&lt;&gt;Error")</f>
        <v>0</v>
      </c>
      <c r="K39" s="182">
        <f>SUMIFS('1. Staff Costs'!R:R,'1. Staff Costs'!C:C,B39,'1. Staff Costs'!I:I,$J$3,'1. Staff Costs'!Q:Q,"&lt;&gt;Error")</f>
        <v>0</v>
      </c>
      <c r="L39" s="183">
        <f t="shared" si="0"/>
        <v>0</v>
      </c>
      <c r="M39" s="183">
        <f t="shared" si="1"/>
        <v>0</v>
      </c>
    </row>
    <row r="40" spans="2:13" x14ac:dyDescent="0.4">
      <c r="B40" s="208" t="s">
        <v>121</v>
      </c>
      <c r="C40" s="208" t="str">
        <f>IF('Final financial statement'!E58=0,"",'Final financial statement'!E58)</f>
        <v/>
      </c>
      <c r="D40" s="182">
        <f>SUMIFS('1. Staff Costs'!P:P,'1. Staff Costs'!C:C,B40,'1. Staff Costs'!I:I,$D$3,'1. Staff Costs'!Q:Q,"&lt;&gt;Error")</f>
        <v>0</v>
      </c>
      <c r="E40" s="182">
        <f>SUMIFS('1. Staff Costs'!R:R,'1. Staff Costs'!C:C,B40,'1. Staff Costs'!I:I,$D$3,'1. Staff Costs'!Q:Q,"&lt;&gt;Error")</f>
        <v>0</v>
      </c>
      <c r="F40" s="182">
        <f>SUMIFS('1. Staff Costs'!P:P,'1. Staff Costs'!C:C,B40,'1. Staff Costs'!I:I,$F$3,'1. Staff Costs'!Q:Q,"&lt;&gt;Error")</f>
        <v>0</v>
      </c>
      <c r="G40" s="182">
        <f>SUMIFS('1. Staff Costs'!R:R,'1. Staff Costs'!C:C,B40,'1. Staff Costs'!I:I,$F$3,'1. Staff Costs'!Q:Q,"&lt;&gt;Error")</f>
        <v>0</v>
      </c>
      <c r="H40" s="182">
        <f>SUMIFS('1. Staff Costs'!P:P,'1. Staff Costs'!C:C,B40,'1. Staff Costs'!I:I,$H$3,'1. Staff Costs'!Q:Q,"&lt;&gt;Error")</f>
        <v>0</v>
      </c>
      <c r="I40" s="182">
        <f>SUMIFS('1. Staff Costs'!R:R,'1. Staff Costs'!C:C,B40,'1. Staff Costs'!I:I,$H$3,'1. Staff Costs'!Q:Q,"&lt;&gt;Error")</f>
        <v>0</v>
      </c>
      <c r="J40" s="182">
        <f>SUMIFS('1. Staff Costs'!P:P,'1. Staff Costs'!C:C,B40,'1. Staff Costs'!I:I,$J$3,'1. Staff Costs'!Q:Q,"&lt;&gt;Error")</f>
        <v>0</v>
      </c>
      <c r="K40" s="182">
        <f>SUMIFS('1. Staff Costs'!R:R,'1. Staff Costs'!C:C,B40,'1. Staff Costs'!I:I,$J$3,'1. Staff Costs'!Q:Q,"&lt;&gt;Error")</f>
        <v>0</v>
      </c>
      <c r="L40" s="183">
        <f t="shared" si="0"/>
        <v>0</v>
      </c>
      <c r="M40" s="183">
        <f t="shared" si="1"/>
        <v>0</v>
      </c>
    </row>
    <row r="41" spans="2:13" x14ac:dyDescent="0.4">
      <c r="B41" s="208" t="s">
        <v>122</v>
      </c>
      <c r="C41" s="208" t="str">
        <f>IF('Final financial statement'!E59=0,"",'Final financial statement'!E59)</f>
        <v/>
      </c>
      <c r="D41" s="182">
        <f>SUMIFS('1. Staff Costs'!P:P,'1. Staff Costs'!C:C,B41,'1. Staff Costs'!I:I,$D$3,'1. Staff Costs'!Q:Q,"&lt;&gt;Error")</f>
        <v>0</v>
      </c>
      <c r="E41" s="182">
        <f>SUMIFS('1. Staff Costs'!R:R,'1. Staff Costs'!C:C,B41,'1. Staff Costs'!I:I,$D$3,'1. Staff Costs'!Q:Q,"&lt;&gt;Error")</f>
        <v>0</v>
      </c>
      <c r="F41" s="182">
        <f>SUMIFS('1. Staff Costs'!P:P,'1. Staff Costs'!C:C,B41,'1. Staff Costs'!I:I,$F$3,'1. Staff Costs'!Q:Q,"&lt;&gt;Error")</f>
        <v>0</v>
      </c>
      <c r="G41" s="182">
        <f>SUMIFS('1. Staff Costs'!R:R,'1. Staff Costs'!C:C,B41,'1. Staff Costs'!I:I,$F$3,'1. Staff Costs'!Q:Q,"&lt;&gt;Error")</f>
        <v>0</v>
      </c>
      <c r="H41" s="182">
        <f>SUMIFS('1. Staff Costs'!P:P,'1. Staff Costs'!C:C,B41,'1. Staff Costs'!I:I,$H$3,'1. Staff Costs'!Q:Q,"&lt;&gt;Error")</f>
        <v>0</v>
      </c>
      <c r="I41" s="182">
        <f>SUMIFS('1. Staff Costs'!R:R,'1. Staff Costs'!C:C,B41,'1. Staff Costs'!I:I,$H$3,'1. Staff Costs'!Q:Q,"&lt;&gt;Error")</f>
        <v>0</v>
      </c>
      <c r="J41" s="182">
        <f>SUMIFS('1. Staff Costs'!P:P,'1. Staff Costs'!C:C,B41,'1. Staff Costs'!I:I,$J$3,'1. Staff Costs'!Q:Q,"&lt;&gt;Error")</f>
        <v>0</v>
      </c>
      <c r="K41" s="182">
        <f>SUMIFS('1. Staff Costs'!R:R,'1. Staff Costs'!C:C,B41,'1. Staff Costs'!I:I,$J$3,'1. Staff Costs'!Q:Q,"&lt;&gt;Error")</f>
        <v>0</v>
      </c>
      <c r="L41" s="183">
        <f t="shared" si="0"/>
        <v>0</v>
      </c>
      <c r="M41" s="183">
        <f t="shared" si="1"/>
        <v>0</v>
      </c>
    </row>
    <row r="42" spans="2:13" x14ac:dyDescent="0.4">
      <c r="B42" s="208" t="s">
        <v>123</v>
      </c>
      <c r="C42" s="208" t="str">
        <f>IF('Final financial statement'!E60=0,"",'Final financial statement'!E60)</f>
        <v/>
      </c>
      <c r="D42" s="182">
        <f>SUMIFS('1. Staff Costs'!P:P,'1. Staff Costs'!C:C,B42,'1. Staff Costs'!I:I,$D$3,'1. Staff Costs'!Q:Q,"&lt;&gt;Error")</f>
        <v>0</v>
      </c>
      <c r="E42" s="182">
        <f>SUMIFS('1. Staff Costs'!R:R,'1. Staff Costs'!C:C,B42,'1. Staff Costs'!I:I,$D$3,'1. Staff Costs'!Q:Q,"&lt;&gt;Error")</f>
        <v>0</v>
      </c>
      <c r="F42" s="182">
        <f>SUMIFS('1. Staff Costs'!P:P,'1. Staff Costs'!C:C,B42,'1. Staff Costs'!I:I,$F$3,'1. Staff Costs'!Q:Q,"&lt;&gt;Error")</f>
        <v>0</v>
      </c>
      <c r="G42" s="182">
        <f>SUMIFS('1. Staff Costs'!R:R,'1. Staff Costs'!C:C,B42,'1. Staff Costs'!I:I,$F$3,'1. Staff Costs'!Q:Q,"&lt;&gt;Error")</f>
        <v>0</v>
      </c>
      <c r="H42" s="182">
        <f>SUMIFS('1. Staff Costs'!P:P,'1. Staff Costs'!C:C,B42,'1. Staff Costs'!I:I,$H$3,'1. Staff Costs'!Q:Q,"&lt;&gt;Error")</f>
        <v>0</v>
      </c>
      <c r="I42" s="182">
        <f>SUMIFS('1. Staff Costs'!R:R,'1. Staff Costs'!C:C,B42,'1. Staff Costs'!I:I,$H$3,'1. Staff Costs'!Q:Q,"&lt;&gt;Error")</f>
        <v>0</v>
      </c>
      <c r="J42" s="182">
        <f>SUMIFS('1. Staff Costs'!P:P,'1. Staff Costs'!C:C,B42,'1. Staff Costs'!I:I,$J$3,'1. Staff Costs'!Q:Q,"&lt;&gt;Error")</f>
        <v>0</v>
      </c>
      <c r="K42" s="182">
        <f>SUMIFS('1. Staff Costs'!R:R,'1. Staff Costs'!C:C,B42,'1. Staff Costs'!I:I,$J$3,'1. Staff Costs'!Q:Q,"&lt;&gt;Error")</f>
        <v>0</v>
      </c>
      <c r="L42" s="183">
        <f t="shared" si="0"/>
        <v>0</v>
      </c>
      <c r="M42" s="183">
        <f t="shared" si="1"/>
        <v>0</v>
      </c>
    </row>
    <row r="43" spans="2:13" x14ac:dyDescent="0.4">
      <c r="B43" s="208" t="s">
        <v>124</v>
      </c>
      <c r="C43" s="208" t="str">
        <f>IF('Final financial statement'!E61=0,"",'Final financial statement'!E61)</f>
        <v/>
      </c>
      <c r="D43" s="182">
        <f>SUMIFS('1. Staff Costs'!P:P,'1. Staff Costs'!C:C,B43,'1. Staff Costs'!I:I,$D$3,'1. Staff Costs'!Q:Q,"&lt;&gt;Error")</f>
        <v>0</v>
      </c>
      <c r="E43" s="182">
        <f>SUMIFS('1. Staff Costs'!R:R,'1. Staff Costs'!C:C,B43,'1. Staff Costs'!I:I,$D$3,'1. Staff Costs'!Q:Q,"&lt;&gt;Error")</f>
        <v>0</v>
      </c>
      <c r="F43" s="182">
        <f>SUMIFS('1. Staff Costs'!P:P,'1. Staff Costs'!C:C,B43,'1. Staff Costs'!I:I,$F$3,'1. Staff Costs'!Q:Q,"&lt;&gt;Error")</f>
        <v>0</v>
      </c>
      <c r="G43" s="182">
        <f>SUMIFS('1. Staff Costs'!R:R,'1. Staff Costs'!C:C,B43,'1. Staff Costs'!I:I,$F$3,'1. Staff Costs'!Q:Q,"&lt;&gt;Error")</f>
        <v>0</v>
      </c>
      <c r="H43" s="182">
        <f>SUMIFS('1. Staff Costs'!P:P,'1. Staff Costs'!C:C,B43,'1. Staff Costs'!I:I,$H$3,'1. Staff Costs'!Q:Q,"&lt;&gt;Error")</f>
        <v>0</v>
      </c>
      <c r="I43" s="182">
        <f>SUMIFS('1. Staff Costs'!R:R,'1. Staff Costs'!C:C,B43,'1. Staff Costs'!I:I,$H$3,'1. Staff Costs'!Q:Q,"&lt;&gt;Error")</f>
        <v>0</v>
      </c>
      <c r="J43" s="182">
        <f>SUMIFS('1. Staff Costs'!P:P,'1. Staff Costs'!C:C,B43,'1. Staff Costs'!I:I,$J$3,'1. Staff Costs'!Q:Q,"&lt;&gt;Error")</f>
        <v>0</v>
      </c>
      <c r="K43" s="182">
        <f>SUMIFS('1. Staff Costs'!R:R,'1. Staff Costs'!C:C,B43,'1. Staff Costs'!I:I,$J$3,'1. Staff Costs'!Q:Q,"&lt;&gt;Error")</f>
        <v>0</v>
      </c>
      <c r="L43" s="183">
        <f t="shared" si="0"/>
        <v>0</v>
      </c>
      <c r="M43" s="183">
        <f t="shared" si="1"/>
        <v>0</v>
      </c>
    </row>
    <row r="44" spans="2:13" x14ac:dyDescent="0.4">
      <c r="B44" s="208" t="s">
        <v>125</v>
      </c>
      <c r="C44" s="208" t="str">
        <f>IF('Final financial statement'!E62=0,"",'Final financial statement'!E62)</f>
        <v/>
      </c>
      <c r="D44" s="182">
        <f>SUMIFS('1. Staff Costs'!P:P,'1. Staff Costs'!C:C,B44,'1. Staff Costs'!I:I,$D$3,'1. Staff Costs'!Q:Q,"&lt;&gt;Error")</f>
        <v>0</v>
      </c>
      <c r="E44" s="182">
        <f>SUMIFS('1. Staff Costs'!R:R,'1. Staff Costs'!C:C,B44,'1. Staff Costs'!I:I,$D$3,'1. Staff Costs'!Q:Q,"&lt;&gt;Error")</f>
        <v>0</v>
      </c>
      <c r="F44" s="182">
        <f>SUMIFS('1. Staff Costs'!P:P,'1. Staff Costs'!C:C,B44,'1. Staff Costs'!I:I,$F$3,'1. Staff Costs'!Q:Q,"&lt;&gt;Error")</f>
        <v>0</v>
      </c>
      <c r="G44" s="182">
        <f>SUMIFS('1. Staff Costs'!R:R,'1. Staff Costs'!C:C,B44,'1. Staff Costs'!I:I,$F$3,'1. Staff Costs'!Q:Q,"&lt;&gt;Error")</f>
        <v>0</v>
      </c>
      <c r="H44" s="182">
        <f>SUMIFS('1. Staff Costs'!P:P,'1. Staff Costs'!C:C,B44,'1. Staff Costs'!I:I,$H$3,'1. Staff Costs'!Q:Q,"&lt;&gt;Error")</f>
        <v>0</v>
      </c>
      <c r="I44" s="182">
        <f>SUMIFS('1. Staff Costs'!R:R,'1. Staff Costs'!C:C,B44,'1. Staff Costs'!I:I,$H$3,'1. Staff Costs'!Q:Q,"&lt;&gt;Error")</f>
        <v>0</v>
      </c>
      <c r="J44" s="182">
        <f>SUMIFS('1. Staff Costs'!P:P,'1. Staff Costs'!C:C,B44,'1. Staff Costs'!I:I,$J$3,'1. Staff Costs'!Q:Q,"&lt;&gt;Error")</f>
        <v>0</v>
      </c>
      <c r="K44" s="182">
        <f>SUMIFS('1. Staff Costs'!R:R,'1. Staff Costs'!C:C,B44,'1. Staff Costs'!I:I,$J$3,'1. Staff Costs'!Q:Q,"&lt;&gt;Error")</f>
        <v>0</v>
      </c>
      <c r="L44" s="183">
        <f t="shared" si="0"/>
        <v>0</v>
      </c>
      <c r="M44" s="183">
        <f t="shared" si="1"/>
        <v>0</v>
      </c>
    </row>
    <row r="45" spans="2:13" x14ac:dyDescent="0.4">
      <c r="B45" s="208" t="s">
        <v>132</v>
      </c>
      <c r="C45" s="208" t="str">
        <f>IF('Final financial statement'!E63=0,"",'Final financial statement'!E63)</f>
        <v/>
      </c>
      <c r="D45" s="182">
        <f>SUMIFS('1. Staff Costs'!P:P,'1. Staff Costs'!C:C,B45,'1. Staff Costs'!I:I,$D$3,'1. Staff Costs'!Q:Q,"&lt;&gt;Error")</f>
        <v>0</v>
      </c>
      <c r="E45" s="182">
        <f>SUMIFS('1. Staff Costs'!R:R,'1. Staff Costs'!C:C,B45,'1. Staff Costs'!I:I,$D$3,'1. Staff Costs'!Q:Q,"&lt;&gt;Error")</f>
        <v>0</v>
      </c>
      <c r="F45" s="182">
        <f>SUMIFS('1. Staff Costs'!P:P,'1. Staff Costs'!C:C,B45,'1. Staff Costs'!I:I,$F$3,'1. Staff Costs'!Q:Q,"&lt;&gt;Error")</f>
        <v>0</v>
      </c>
      <c r="G45" s="182">
        <f>SUMIFS('1. Staff Costs'!R:R,'1. Staff Costs'!C:C,B45,'1. Staff Costs'!I:I,$F$3,'1. Staff Costs'!Q:Q,"&lt;&gt;Error")</f>
        <v>0</v>
      </c>
      <c r="H45" s="182">
        <f>SUMIFS('1. Staff Costs'!P:P,'1. Staff Costs'!C:C,B45,'1. Staff Costs'!I:I,$H$3,'1. Staff Costs'!Q:Q,"&lt;&gt;Error")</f>
        <v>0</v>
      </c>
      <c r="I45" s="182">
        <f>SUMIFS('1. Staff Costs'!R:R,'1. Staff Costs'!C:C,B45,'1. Staff Costs'!I:I,$H$3,'1. Staff Costs'!Q:Q,"&lt;&gt;Error")</f>
        <v>0</v>
      </c>
      <c r="J45" s="182">
        <f>SUMIFS('1. Staff Costs'!P:P,'1. Staff Costs'!C:C,B45,'1. Staff Costs'!I:I,$J$3,'1. Staff Costs'!Q:Q,"&lt;&gt;Error")</f>
        <v>0</v>
      </c>
      <c r="K45" s="182">
        <f>SUMIFS('1. Staff Costs'!R:R,'1. Staff Costs'!C:C,B45,'1. Staff Costs'!I:I,$J$3,'1. Staff Costs'!Q:Q,"&lt;&gt;Error")</f>
        <v>0</v>
      </c>
      <c r="L45" s="183">
        <f t="shared" si="0"/>
        <v>0</v>
      </c>
      <c r="M45" s="183">
        <f t="shared" si="1"/>
        <v>0</v>
      </c>
    </row>
    <row r="46" spans="2:13" x14ac:dyDescent="0.4">
      <c r="B46" s="208" t="s">
        <v>133</v>
      </c>
      <c r="C46" s="208" t="str">
        <f>IF('Final financial statement'!E64=0,"",'Final financial statement'!E64)</f>
        <v/>
      </c>
      <c r="D46" s="182">
        <f>SUMIFS('1. Staff Costs'!P:P,'1. Staff Costs'!C:C,B46,'1. Staff Costs'!I:I,$D$3,'1. Staff Costs'!Q:Q,"&lt;&gt;Error")</f>
        <v>0</v>
      </c>
      <c r="E46" s="182">
        <f>SUMIFS('1. Staff Costs'!R:R,'1. Staff Costs'!C:C,B46,'1. Staff Costs'!I:I,$D$3,'1. Staff Costs'!Q:Q,"&lt;&gt;Error")</f>
        <v>0</v>
      </c>
      <c r="F46" s="182">
        <f>SUMIFS('1. Staff Costs'!P:P,'1. Staff Costs'!C:C,B46,'1. Staff Costs'!I:I,$F$3,'1. Staff Costs'!Q:Q,"&lt;&gt;Error")</f>
        <v>0</v>
      </c>
      <c r="G46" s="182">
        <f>SUMIFS('1. Staff Costs'!R:R,'1. Staff Costs'!C:C,B46,'1. Staff Costs'!I:I,$F$3,'1. Staff Costs'!Q:Q,"&lt;&gt;Error")</f>
        <v>0</v>
      </c>
      <c r="H46" s="182">
        <f>SUMIFS('1. Staff Costs'!P:P,'1. Staff Costs'!C:C,B46,'1. Staff Costs'!I:I,$H$3,'1. Staff Costs'!Q:Q,"&lt;&gt;Error")</f>
        <v>0</v>
      </c>
      <c r="I46" s="182">
        <f>SUMIFS('1. Staff Costs'!R:R,'1. Staff Costs'!C:C,B46,'1. Staff Costs'!I:I,$H$3,'1. Staff Costs'!Q:Q,"&lt;&gt;Error")</f>
        <v>0</v>
      </c>
      <c r="J46" s="182">
        <f>SUMIFS('1. Staff Costs'!P:P,'1. Staff Costs'!C:C,B46,'1. Staff Costs'!I:I,$J$3,'1. Staff Costs'!Q:Q,"&lt;&gt;Error")</f>
        <v>0</v>
      </c>
      <c r="K46" s="182">
        <f>SUMIFS('1. Staff Costs'!R:R,'1. Staff Costs'!C:C,B46,'1. Staff Costs'!I:I,$J$3,'1. Staff Costs'!Q:Q,"&lt;&gt;Error")</f>
        <v>0</v>
      </c>
      <c r="L46" s="183">
        <f t="shared" si="0"/>
        <v>0</v>
      </c>
      <c r="M46" s="183">
        <f t="shared" si="1"/>
        <v>0</v>
      </c>
    </row>
    <row r="47" spans="2:13" x14ac:dyDescent="0.4">
      <c r="B47" s="208" t="s">
        <v>134</v>
      </c>
      <c r="C47" s="208" t="str">
        <f>IF('Final financial statement'!E65=0,"",'Final financial statement'!E65)</f>
        <v/>
      </c>
      <c r="D47" s="182">
        <f>SUMIFS('1. Staff Costs'!P:P,'1. Staff Costs'!C:C,B47,'1. Staff Costs'!I:I,$D$3,'1. Staff Costs'!Q:Q,"&lt;&gt;Error")</f>
        <v>0</v>
      </c>
      <c r="E47" s="182">
        <f>SUMIFS('1. Staff Costs'!R:R,'1. Staff Costs'!C:C,B47,'1. Staff Costs'!I:I,$D$3,'1. Staff Costs'!Q:Q,"&lt;&gt;Error")</f>
        <v>0</v>
      </c>
      <c r="F47" s="182">
        <f>SUMIFS('1. Staff Costs'!P:P,'1. Staff Costs'!C:C,B47,'1. Staff Costs'!I:I,$F$3,'1. Staff Costs'!Q:Q,"&lt;&gt;Error")</f>
        <v>0</v>
      </c>
      <c r="G47" s="182">
        <f>SUMIFS('1. Staff Costs'!R:R,'1. Staff Costs'!C:C,B47,'1. Staff Costs'!I:I,$F$3,'1. Staff Costs'!Q:Q,"&lt;&gt;Error")</f>
        <v>0</v>
      </c>
      <c r="H47" s="182">
        <f>SUMIFS('1. Staff Costs'!P:P,'1. Staff Costs'!C:C,B47,'1. Staff Costs'!I:I,$H$3,'1. Staff Costs'!Q:Q,"&lt;&gt;Error")</f>
        <v>0</v>
      </c>
      <c r="I47" s="182">
        <f>SUMIFS('1. Staff Costs'!R:R,'1. Staff Costs'!C:C,B47,'1. Staff Costs'!I:I,$H$3,'1. Staff Costs'!Q:Q,"&lt;&gt;Error")</f>
        <v>0</v>
      </c>
      <c r="J47" s="182">
        <f>SUMIFS('1. Staff Costs'!P:P,'1. Staff Costs'!C:C,B47,'1. Staff Costs'!I:I,$J$3,'1. Staff Costs'!Q:Q,"&lt;&gt;Error")</f>
        <v>0</v>
      </c>
      <c r="K47" s="182">
        <f>SUMIFS('1. Staff Costs'!R:R,'1. Staff Costs'!C:C,B47,'1. Staff Costs'!I:I,$J$3,'1. Staff Costs'!Q:Q,"&lt;&gt;Error")</f>
        <v>0</v>
      </c>
      <c r="L47" s="183">
        <f t="shared" si="0"/>
        <v>0</v>
      </c>
      <c r="M47" s="183">
        <f t="shared" si="1"/>
        <v>0</v>
      </c>
    </row>
    <row r="48" spans="2:13" x14ac:dyDescent="0.4">
      <c r="B48" s="208" t="s">
        <v>135</v>
      </c>
      <c r="C48" s="208" t="str">
        <f>IF('Final financial statement'!E66=0,"",'Final financial statement'!E66)</f>
        <v/>
      </c>
      <c r="D48" s="182">
        <f>SUMIFS('1. Staff Costs'!P:P,'1. Staff Costs'!C:C,B48,'1. Staff Costs'!I:I,$D$3,'1. Staff Costs'!Q:Q,"&lt;&gt;Error")</f>
        <v>0</v>
      </c>
      <c r="E48" s="182">
        <f>SUMIFS('1. Staff Costs'!R:R,'1. Staff Costs'!C:C,B48,'1. Staff Costs'!I:I,$D$3,'1. Staff Costs'!Q:Q,"&lt;&gt;Error")</f>
        <v>0</v>
      </c>
      <c r="F48" s="182">
        <f>SUMIFS('1. Staff Costs'!P:P,'1. Staff Costs'!C:C,B48,'1. Staff Costs'!I:I,$F$3,'1. Staff Costs'!Q:Q,"&lt;&gt;Error")</f>
        <v>0</v>
      </c>
      <c r="G48" s="182">
        <f>SUMIFS('1. Staff Costs'!R:R,'1. Staff Costs'!C:C,B48,'1. Staff Costs'!I:I,$F$3,'1. Staff Costs'!Q:Q,"&lt;&gt;Error")</f>
        <v>0</v>
      </c>
      <c r="H48" s="182">
        <f>SUMIFS('1. Staff Costs'!P:P,'1. Staff Costs'!C:C,B48,'1. Staff Costs'!I:I,$H$3,'1. Staff Costs'!Q:Q,"&lt;&gt;Error")</f>
        <v>0</v>
      </c>
      <c r="I48" s="182">
        <f>SUMIFS('1. Staff Costs'!R:R,'1. Staff Costs'!C:C,B48,'1. Staff Costs'!I:I,$H$3,'1. Staff Costs'!Q:Q,"&lt;&gt;Error")</f>
        <v>0</v>
      </c>
      <c r="J48" s="182">
        <f>SUMIFS('1. Staff Costs'!P:P,'1. Staff Costs'!C:C,B48,'1. Staff Costs'!I:I,$J$3,'1. Staff Costs'!Q:Q,"&lt;&gt;Error")</f>
        <v>0</v>
      </c>
      <c r="K48" s="182">
        <f>SUMIFS('1. Staff Costs'!R:R,'1. Staff Costs'!C:C,B48,'1. Staff Costs'!I:I,$J$3,'1. Staff Costs'!Q:Q,"&lt;&gt;Error")</f>
        <v>0</v>
      </c>
      <c r="L48" s="183">
        <f t="shared" si="0"/>
        <v>0</v>
      </c>
      <c r="M48" s="183">
        <f t="shared" si="1"/>
        <v>0</v>
      </c>
    </row>
    <row r="49" spans="2:13" x14ac:dyDescent="0.4">
      <c r="B49" s="208" t="s">
        <v>136</v>
      </c>
      <c r="C49" s="208" t="str">
        <f>IF('Final financial statement'!E67=0,"",'Final financial statement'!E67)</f>
        <v/>
      </c>
      <c r="D49" s="182">
        <f>SUMIFS('1. Staff Costs'!P:P,'1. Staff Costs'!C:C,B49,'1. Staff Costs'!I:I,$D$3,'1. Staff Costs'!Q:Q,"&lt;&gt;Error")</f>
        <v>0</v>
      </c>
      <c r="E49" s="182">
        <f>SUMIFS('1. Staff Costs'!R:R,'1. Staff Costs'!C:C,B49,'1. Staff Costs'!I:I,$D$3,'1. Staff Costs'!Q:Q,"&lt;&gt;Error")</f>
        <v>0</v>
      </c>
      <c r="F49" s="182">
        <f>SUMIFS('1. Staff Costs'!P:P,'1. Staff Costs'!C:C,B49,'1. Staff Costs'!I:I,$F$3,'1. Staff Costs'!Q:Q,"&lt;&gt;Error")</f>
        <v>0</v>
      </c>
      <c r="G49" s="182">
        <f>SUMIFS('1. Staff Costs'!R:R,'1. Staff Costs'!C:C,B49,'1. Staff Costs'!I:I,$F$3,'1. Staff Costs'!Q:Q,"&lt;&gt;Error")</f>
        <v>0</v>
      </c>
      <c r="H49" s="182">
        <f>SUMIFS('1. Staff Costs'!P:P,'1. Staff Costs'!C:C,B49,'1. Staff Costs'!I:I,$H$3,'1. Staff Costs'!Q:Q,"&lt;&gt;Error")</f>
        <v>0</v>
      </c>
      <c r="I49" s="182">
        <f>SUMIFS('1. Staff Costs'!R:R,'1. Staff Costs'!C:C,B49,'1. Staff Costs'!I:I,$H$3,'1. Staff Costs'!Q:Q,"&lt;&gt;Error")</f>
        <v>0</v>
      </c>
      <c r="J49" s="182">
        <f>SUMIFS('1. Staff Costs'!P:P,'1. Staff Costs'!C:C,B49,'1. Staff Costs'!I:I,$J$3,'1. Staff Costs'!Q:Q,"&lt;&gt;Error")</f>
        <v>0</v>
      </c>
      <c r="K49" s="182">
        <f>SUMIFS('1. Staff Costs'!R:R,'1. Staff Costs'!C:C,B49,'1. Staff Costs'!I:I,$J$3,'1. Staff Costs'!Q:Q,"&lt;&gt;Error")</f>
        <v>0</v>
      </c>
      <c r="L49" s="183">
        <f t="shared" si="0"/>
        <v>0</v>
      </c>
      <c r="M49" s="183">
        <f t="shared" si="1"/>
        <v>0</v>
      </c>
    </row>
    <row r="50" spans="2:13" x14ac:dyDescent="0.4">
      <c r="B50" s="208" t="s">
        <v>137</v>
      </c>
      <c r="C50" s="208" t="str">
        <f>IF('Final financial statement'!E68=0,"",'Final financial statement'!E68)</f>
        <v/>
      </c>
      <c r="D50" s="182">
        <f>SUMIFS('1. Staff Costs'!P:P,'1. Staff Costs'!C:C,B50,'1. Staff Costs'!I:I,$D$3,'1. Staff Costs'!Q:Q,"&lt;&gt;Error")</f>
        <v>0</v>
      </c>
      <c r="E50" s="182">
        <f>SUMIFS('1. Staff Costs'!R:R,'1. Staff Costs'!C:C,B50,'1. Staff Costs'!I:I,$D$3,'1. Staff Costs'!Q:Q,"&lt;&gt;Error")</f>
        <v>0</v>
      </c>
      <c r="F50" s="182">
        <f>SUMIFS('1. Staff Costs'!P:P,'1. Staff Costs'!C:C,B50,'1. Staff Costs'!I:I,$F$3,'1. Staff Costs'!Q:Q,"&lt;&gt;Error")</f>
        <v>0</v>
      </c>
      <c r="G50" s="182">
        <f>SUMIFS('1. Staff Costs'!R:R,'1. Staff Costs'!C:C,B50,'1. Staff Costs'!I:I,$F$3,'1. Staff Costs'!Q:Q,"&lt;&gt;Error")</f>
        <v>0</v>
      </c>
      <c r="H50" s="182">
        <f>SUMIFS('1. Staff Costs'!P:P,'1. Staff Costs'!C:C,B50,'1. Staff Costs'!I:I,$H$3,'1. Staff Costs'!Q:Q,"&lt;&gt;Error")</f>
        <v>0</v>
      </c>
      <c r="I50" s="182">
        <f>SUMIFS('1. Staff Costs'!R:R,'1. Staff Costs'!C:C,B50,'1. Staff Costs'!I:I,$H$3,'1. Staff Costs'!Q:Q,"&lt;&gt;Error")</f>
        <v>0</v>
      </c>
      <c r="J50" s="182">
        <f>SUMIFS('1. Staff Costs'!P:P,'1. Staff Costs'!C:C,B50,'1. Staff Costs'!I:I,$J$3,'1. Staff Costs'!Q:Q,"&lt;&gt;Error")</f>
        <v>0</v>
      </c>
      <c r="K50" s="182">
        <f>SUMIFS('1. Staff Costs'!R:R,'1. Staff Costs'!C:C,B50,'1. Staff Costs'!I:I,$J$3,'1. Staff Costs'!Q:Q,"&lt;&gt;Error")</f>
        <v>0</v>
      </c>
      <c r="L50" s="183">
        <f t="shared" si="0"/>
        <v>0</v>
      </c>
      <c r="M50" s="183">
        <f t="shared" si="1"/>
        <v>0</v>
      </c>
    </row>
    <row r="51" spans="2:13" x14ac:dyDescent="0.4">
      <c r="B51" s="208" t="s">
        <v>138</v>
      </c>
      <c r="C51" s="208" t="str">
        <f>IF('Final financial statement'!E69=0,"",'Final financial statement'!E69)</f>
        <v/>
      </c>
      <c r="D51" s="182">
        <f>SUMIFS('1. Staff Costs'!P:P,'1. Staff Costs'!C:C,B51,'1. Staff Costs'!I:I,$D$3,'1. Staff Costs'!Q:Q,"&lt;&gt;Error")</f>
        <v>0</v>
      </c>
      <c r="E51" s="182">
        <f>SUMIFS('1. Staff Costs'!R:R,'1. Staff Costs'!C:C,B51,'1. Staff Costs'!I:I,$D$3,'1. Staff Costs'!Q:Q,"&lt;&gt;Error")</f>
        <v>0</v>
      </c>
      <c r="F51" s="182">
        <f>SUMIFS('1. Staff Costs'!P:P,'1. Staff Costs'!C:C,B51,'1. Staff Costs'!I:I,$F$3,'1. Staff Costs'!Q:Q,"&lt;&gt;Error")</f>
        <v>0</v>
      </c>
      <c r="G51" s="182">
        <f>SUMIFS('1. Staff Costs'!R:R,'1. Staff Costs'!C:C,B51,'1. Staff Costs'!I:I,$F$3,'1. Staff Costs'!Q:Q,"&lt;&gt;Error")</f>
        <v>0</v>
      </c>
      <c r="H51" s="182">
        <f>SUMIFS('1. Staff Costs'!P:P,'1. Staff Costs'!C:C,B51,'1. Staff Costs'!I:I,$H$3,'1. Staff Costs'!Q:Q,"&lt;&gt;Error")</f>
        <v>0</v>
      </c>
      <c r="I51" s="182">
        <f>SUMIFS('1. Staff Costs'!R:R,'1. Staff Costs'!C:C,B51,'1. Staff Costs'!I:I,$H$3,'1. Staff Costs'!Q:Q,"&lt;&gt;Error")</f>
        <v>0</v>
      </c>
      <c r="J51" s="182">
        <f>SUMIFS('1. Staff Costs'!P:P,'1. Staff Costs'!C:C,B51,'1. Staff Costs'!I:I,$J$3,'1. Staff Costs'!Q:Q,"&lt;&gt;Error")</f>
        <v>0</v>
      </c>
      <c r="K51" s="182">
        <f>SUMIFS('1. Staff Costs'!R:R,'1. Staff Costs'!C:C,B51,'1. Staff Costs'!I:I,$J$3,'1. Staff Costs'!Q:Q,"&lt;&gt;Error")</f>
        <v>0</v>
      </c>
      <c r="L51" s="183">
        <f t="shared" si="0"/>
        <v>0</v>
      </c>
      <c r="M51" s="183">
        <f t="shared" si="1"/>
        <v>0</v>
      </c>
    </row>
    <row r="52" spans="2:13" x14ac:dyDescent="0.4">
      <c r="B52" s="208" t="s">
        <v>139</v>
      </c>
      <c r="C52" s="208" t="str">
        <f>IF('Final financial statement'!E70=0,"",'Final financial statement'!E70)</f>
        <v/>
      </c>
      <c r="D52" s="182">
        <f>SUMIFS('1. Staff Costs'!P:P,'1. Staff Costs'!C:C,B52,'1. Staff Costs'!I:I,$D$3,'1. Staff Costs'!Q:Q,"&lt;&gt;Error")</f>
        <v>0</v>
      </c>
      <c r="E52" s="182">
        <f>SUMIFS('1. Staff Costs'!R:R,'1. Staff Costs'!C:C,B52,'1. Staff Costs'!I:I,$D$3,'1. Staff Costs'!Q:Q,"&lt;&gt;Error")</f>
        <v>0</v>
      </c>
      <c r="F52" s="182">
        <f>SUMIFS('1. Staff Costs'!P:P,'1. Staff Costs'!C:C,B52,'1. Staff Costs'!I:I,$F$3,'1. Staff Costs'!Q:Q,"&lt;&gt;Error")</f>
        <v>0</v>
      </c>
      <c r="G52" s="182">
        <f>SUMIFS('1. Staff Costs'!R:R,'1. Staff Costs'!C:C,B52,'1. Staff Costs'!I:I,$F$3,'1. Staff Costs'!Q:Q,"&lt;&gt;Error")</f>
        <v>0</v>
      </c>
      <c r="H52" s="182">
        <f>SUMIFS('1. Staff Costs'!P:P,'1. Staff Costs'!C:C,B52,'1. Staff Costs'!I:I,$H$3,'1. Staff Costs'!Q:Q,"&lt;&gt;Error")</f>
        <v>0</v>
      </c>
      <c r="I52" s="182">
        <f>SUMIFS('1. Staff Costs'!R:R,'1. Staff Costs'!C:C,B52,'1. Staff Costs'!I:I,$H$3,'1. Staff Costs'!Q:Q,"&lt;&gt;Error")</f>
        <v>0</v>
      </c>
      <c r="J52" s="182">
        <f>SUMIFS('1. Staff Costs'!P:P,'1. Staff Costs'!C:C,B52,'1. Staff Costs'!I:I,$J$3,'1. Staff Costs'!Q:Q,"&lt;&gt;Error")</f>
        <v>0</v>
      </c>
      <c r="K52" s="182">
        <f>SUMIFS('1. Staff Costs'!R:R,'1. Staff Costs'!C:C,B52,'1. Staff Costs'!I:I,$J$3,'1. Staff Costs'!Q:Q,"&lt;&gt;Error")</f>
        <v>0</v>
      </c>
      <c r="L52" s="183">
        <f t="shared" si="0"/>
        <v>0</v>
      </c>
      <c r="M52" s="183">
        <f t="shared" si="1"/>
        <v>0</v>
      </c>
    </row>
    <row r="53" spans="2:13" x14ac:dyDescent="0.4">
      <c r="B53" s="208" t="s">
        <v>140</v>
      </c>
      <c r="C53" s="208" t="str">
        <f>IF('Final financial statement'!E71=0,"",'Final financial statement'!E71)</f>
        <v/>
      </c>
      <c r="D53" s="182">
        <f>SUMIFS('1. Staff Costs'!P:P,'1. Staff Costs'!C:C,B53,'1. Staff Costs'!I:I,$D$3,'1. Staff Costs'!Q:Q,"&lt;&gt;Error")</f>
        <v>0</v>
      </c>
      <c r="E53" s="182">
        <f>SUMIFS('1. Staff Costs'!R:R,'1. Staff Costs'!C:C,B53,'1. Staff Costs'!I:I,$D$3,'1. Staff Costs'!Q:Q,"&lt;&gt;Error")</f>
        <v>0</v>
      </c>
      <c r="F53" s="182">
        <f>SUMIFS('1. Staff Costs'!P:P,'1. Staff Costs'!C:C,B53,'1. Staff Costs'!I:I,$F$3,'1. Staff Costs'!Q:Q,"&lt;&gt;Error")</f>
        <v>0</v>
      </c>
      <c r="G53" s="182">
        <f>SUMIFS('1. Staff Costs'!R:R,'1. Staff Costs'!C:C,B53,'1. Staff Costs'!I:I,$F$3,'1. Staff Costs'!Q:Q,"&lt;&gt;Error")</f>
        <v>0</v>
      </c>
      <c r="H53" s="182">
        <f>SUMIFS('1. Staff Costs'!P:P,'1. Staff Costs'!C:C,B53,'1. Staff Costs'!I:I,$H$3,'1. Staff Costs'!Q:Q,"&lt;&gt;Error")</f>
        <v>0</v>
      </c>
      <c r="I53" s="182">
        <f>SUMIFS('1. Staff Costs'!R:R,'1. Staff Costs'!C:C,B53,'1. Staff Costs'!I:I,$H$3,'1. Staff Costs'!Q:Q,"&lt;&gt;Error")</f>
        <v>0</v>
      </c>
      <c r="J53" s="182">
        <f>SUMIFS('1. Staff Costs'!P:P,'1. Staff Costs'!C:C,B53,'1. Staff Costs'!I:I,$J$3,'1. Staff Costs'!Q:Q,"&lt;&gt;Error")</f>
        <v>0</v>
      </c>
      <c r="K53" s="182">
        <f>SUMIFS('1. Staff Costs'!R:R,'1. Staff Costs'!C:C,B53,'1. Staff Costs'!I:I,$J$3,'1. Staff Costs'!Q:Q,"&lt;&gt;Error")</f>
        <v>0</v>
      </c>
      <c r="L53" s="183">
        <f t="shared" si="0"/>
        <v>0</v>
      </c>
      <c r="M53" s="183">
        <f t="shared" si="1"/>
        <v>0</v>
      </c>
    </row>
    <row r="54" spans="2:13" x14ac:dyDescent="0.4">
      <c r="B54" s="208" t="s">
        <v>141</v>
      </c>
      <c r="C54" s="208" t="str">
        <f>IF('Final financial statement'!E72=0,"",'Final financial statement'!E72)</f>
        <v/>
      </c>
      <c r="D54" s="182">
        <f>SUMIFS('1. Staff Costs'!P:P,'1. Staff Costs'!C:C,B54,'1. Staff Costs'!I:I,$D$3,'1. Staff Costs'!Q:Q,"&lt;&gt;Error")</f>
        <v>0</v>
      </c>
      <c r="E54" s="182">
        <f>SUMIFS('1. Staff Costs'!R:R,'1. Staff Costs'!C:C,B54,'1. Staff Costs'!I:I,$D$3,'1. Staff Costs'!Q:Q,"&lt;&gt;Error")</f>
        <v>0</v>
      </c>
      <c r="F54" s="182">
        <f>SUMIFS('1. Staff Costs'!P:P,'1. Staff Costs'!C:C,B54,'1. Staff Costs'!I:I,$F$3,'1. Staff Costs'!Q:Q,"&lt;&gt;Error")</f>
        <v>0</v>
      </c>
      <c r="G54" s="182">
        <f>SUMIFS('1. Staff Costs'!R:R,'1. Staff Costs'!C:C,B54,'1. Staff Costs'!I:I,$F$3,'1. Staff Costs'!Q:Q,"&lt;&gt;Error")</f>
        <v>0</v>
      </c>
      <c r="H54" s="182">
        <f>SUMIFS('1. Staff Costs'!P:P,'1. Staff Costs'!C:C,B54,'1. Staff Costs'!I:I,$H$3,'1. Staff Costs'!Q:Q,"&lt;&gt;Error")</f>
        <v>0</v>
      </c>
      <c r="I54" s="182">
        <f>SUMIFS('1. Staff Costs'!R:R,'1. Staff Costs'!C:C,B54,'1. Staff Costs'!I:I,$H$3,'1. Staff Costs'!Q:Q,"&lt;&gt;Error")</f>
        <v>0</v>
      </c>
      <c r="J54" s="182">
        <f>SUMIFS('1. Staff Costs'!P:P,'1. Staff Costs'!C:C,B54,'1. Staff Costs'!I:I,$J$3,'1. Staff Costs'!Q:Q,"&lt;&gt;Error")</f>
        <v>0</v>
      </c>
      <c r="K54" s="182">
        <f>SUMIFS('1. Staff Costs'!R:R,'1. Staff Costs'!C:C,B54,'1. Staff Costs'!I:I,$J$3,'1. Staff Costs'!Q:Q,"&lt;&gt;Error")</f>
        <v>0</v>
      </c>
      <c r="L54" s="183">
        <f t="shared" si="0"/>
        <v>0</v>
      </c>
      <c r="M54" s="183">
        <f t="shared" si="1"/>
        <v>0</v>
      </c>
    </row>
    <row r="55" spans="2:13" x14ac:dyDescent="0.4">
      <c r="B55" s="208" t="s">
        <v>146</v>
      </c>
      <c r="C55" s="208" t="str">
        <f>IF('Final financial statement'!E73=0,"",'Final financial statement'!E73)</f>
        <v/>
      </c>
      <c r="D55" s="182">
        <f>SUMIFS('1. Staff Costs'!P:P,'1. Staff Costs'!C:C,B55,'1. Staff Costs'!I:I,$D$3,'1. Staff Costs'!Q:Q,"&lt;&gt;Error")</f>
        <v>0</v>
      </c>
      <c r="E55" s="182">
        <f>SUMIFS('1. Staff Costs'!R:R,'1. Staff Costs'!C:C,B55,'1. Staff Costs'!I:I,$D$3,'1. Staff Costs'!Q:Q,"&lt;&gt;Error")</f>
        <v>0</v>
      </c>
      <c r="F55" s="182">
        <f>SUMIFS('1. Staff Costs'!P:P,'1. Staff Costs'!C:C,B55,'1. Staff Costs'!I:I,$F$3,'1. Staff Costs'!Q:Q,"&lt;&gt;Error")</f>
        <v>0</v>
      </c>
      <c r="G55" s="182">
        <f>SUMIFS('1. Staff Costs'!R:R,'1. Staff Costs'!C:C,B55,'1. Staff Costs'!I:I,$F$3,'1. Staff Costs'!Q:Q,"&lt;&gt;Error")</f>
        <v>0</v>
      </c>
      <c r="H55" s="182">
        <f>SUMIFS('1. Staff Costs'!P:P,'1. Staff Costs'!C:C,B55,'1. Staff Costs'!I:I,$H$3,'1. Staff Costs'!Q:Q,"&lt;&gt;Error")</f>
        <v>0</v>
      </c>
      <c r="I55" s="182">
        <f>SUMIFS('1. Staff Costs'!R:R,'1. Staff Costs'!C:C,B55,'1. Staff Costs'!I:I,$H$3,'1. Staff Costs'!Q:Q,"&lt;&gt;Error")</f>
        <v>0</v>
      </c>
      <c r="J55" s="182">
        <f>SUMIFS('1. Staff Costs'!P:P,'1. Staff Costs'!C:C,B55,'1. Staff Costs'!I:I,$J$3,'1. Staff Costs'!Q:Q,"&lt;&gt;Error")</f>
        <v>0</v>
      </c>
      <c r="K55" s="182">
        <f>SUMIFS('1. Staff Costs'!R:R,'1. Staff Costs'!C:C,B55,'1. Staff Costs'!I:I,$J$3,'1. Staff Costs'!Q:Q,"&lt;&gt;Error")</f>
        <v>0</v>
      </c>
      <c r="L55" s="183">
        <f t="shared" si="0"/>
        <v>0</v>
      </c>
      <c r="M55" s="183">
        <f t="shared" si="1"/>
        <v>0</v>
      </c>
    </row>
    <row r="56" spans="2:13" x14ac:dyDescent="0.4">
      <c r="B56" s="208" t="s">
        <v>147</v>
      </c>
      <c r="C56" s="208" t="str">
        <f>IF('Final financial statement'!E74=0,"",'Final financial statement'!E74)</f>
        <v/>
      </c>
      <c r="D56" s="182">
        <f>SUMIFS('1. Staff Costs'!P:P,'1. Staff Costs'!C:C,B56,'1. Staff Costs'!I:I,$D$3,'1. Staff Costs'!Q:Q,"&lt;&gt;Error")</f>
        <v>0</v>
      </c>
      <c r="E56" s="182">
        <f>SUMIFS('1. Staff Costs'!R:R,'1. Staff Costs'!C:C,B56,'1. Staff Costs'!I:I,$D$3,'1. Staff Costs'!Q:Q,"&lt;&gt;Error")</f>
        <v>0</v>
      </c>
      <c r="F56" s="182">
        <f>SUMIFS('1. Staff Costs'!P:P,'1. Staff Costs'!C:C,B56,'1. Staff Costs'!I:I,$F$3,'1. Staff Costs'!Q:Q,"&lt;&gt;Error")</f>
        <v>0</v>
      </c>
      <c r="G56" s="182">
        <f>SUMIFS('1. Staff Costs'!R:R,'1. Staff Costs'!C:C,B56,'1. Staff Costs'!I:I,$F$3,'1. Staff Costs'!Q:Q,"&lt;&gt;Error")</f>
        <v>0</v>
      </c>
      <c r="H56" s="182">
        <f>SUMIFS('1. Staff Costs'!P:P,'1. Staff Costs'!C:C,B56,'1. Staff Costs'!I:I,$H$3,'1. Staff Costs'!Q:Q,"&lt;&gt;Error")</f>
        <v>0</v>
      </c>
      <c r="I56" s="182">
        <f>SUMIFS('1. Staff Costs'!R:R,'1. Staff Costs'!C:C,B56,'1. Staff Costs'!I:I,$H$3,'1. Staff Costs'!Q:Q,"&lt;&gt;Error")</f>
        <v>0</v>
      </c>
      <c r="J56" s="182">
        <f>SUMIFS('1. Staff Costs'!P:P,'1. Staff Costs'!C:C,B56,'1. Staff Costs'!I:I,$J$3,'1. Staff Costs'!Q:Q,"&lt;&gt;Error")</f>
        <v>0</v>
      </c>
      <c r="K56" s="182">
        <f>SUMIFS('1. Staff Costs'!R:R,'1. Staff Costs'!C:C,B56,'1. Staff Costs'!I:I,$J$3,'1. Staff Costs'!Q:Q,"&lt;&gt;Error")</f>
        <v>0</v>
      </c>
      <c r="L56" s="183">
        <f t="shared" si="0"/>
        <v>0</v>
      </c>
      <c r="M56" s="183">
        <f t="shared" si="1"/>
        <v>0</v>
      </c>
    </row>
    <row r="57" spans="2:13" x14ac:dyDescent="0.4">
      <c r="B57" s="208" t="s">
        <v>148</v>
      </c>
      <c r="C57" s="208" t="str">
        <f>IF('Final financial statement'!E75=0,"",'Final financial statement'!E75)</f>
        <v/>
      </c>
      <c r="D57" s="182">
        <f>SUMIFS('1. Staff Costs'!P:P,'1. Staff Costs'!C:C,B57,'1. Staff Costs'!I:I,$D$3,'1. Staff Costs'!Q:Q,"&lt;&gt;Error")</f>
        <v>0</v>
      </c>
      <c r="E57" s="182">
        <f>SUMIFS('1. Staff Costs'!R:R,'1. Staff Costs'!C:C,B57,'1. Staff Costs'!I:I,$D$3,'1. Staff Costs'!Q:Q,"&lt;&gt;Error")</f>
        <v>0</v>
      </c>
      <c r="F57" s="182">
        <f>SUMIFS('1. Staff Costs'!P:P,'1. Staff Costs'!C:C,B57,'1. Staff Costs'!I:I,$F$3,'1. Staff Costs'!Q:Q,"&lt;&gt;Error")</f>
        <v>0</v>
      </c>
      <c r="G57" s="182">
        <f>SUMIFS('1. Staff Costs'!R:R,'1. Staff Costs'!C:C,B57,'1. Staff Costs'!I:I,$F$3,'1. Staff Costs'!Q:Q,"&lt;&gt;Error")</f>
        <v>0</v>
      </c>
      <c r="H57" s="182">
        <f>SUMIFS('1. Staff Costs'!P:P,'1. Staff Costs'!C:C,B57,'1. Staff Costs'!I:I,$H$3,'1. Staff Costs'!Q:Q,"&lt;&gt;Error")</f>
        <v>0</v>
      </c>
      <c r="I57" s="182">
        <f>SUMIFS('1. Staff Costs'!R:R,'1. Staff Costs'!C:C,B57,'1. Staff Costs'!I:I,$H$3,'1. Staff Costs'!Q:Q,"&lt;&gt;Error")</f>
        <v>0</v>
      </c>
      <c r="J57" s="182">
        <f>SUMIFS('1. Staff Costs'!P:P,'1. Staff Costs'!C:C,B57,'1. Staff Costs'!I:I,$J$3,'1. Staff Costs'!Q:Q,"&lt;&gt;Error")</f>
        <v>0</v>
      </c>
      <c r="K57" s="182">
        <f>SUMIFS('1. Staff Costs'!R:R,'1. Staff Costs'!C:C,B57,'1. Staff Costs'!I:I,$J$3,'1. Staff Costs'!Q:Q,"&lt;&gt;Error")</f>
        <v>0</v>
      </c>
      <c r="L57" s="183">
        <f t="shared" si="0"/>
        <v>0</v>
      </c>
      <c r="M57" s="183">
        <f t="shared" si="1"/>
        <v>0</v>
      </c>
    </row>
    <row r="58" spans="2:13" x14ac:dyDescent="0.4">
      <c r="B58" s="208" t="s">
        <v>149</v>
      </c>
      <c r="C58" s="208" t="str">
        <f>IF('Final financial statement'!E76=0,"",'Final financial statement'!E76)</f>
        <v/>
      </c>
      <c r="D58" s="182">
        <f>SUMIFS('1. Staff Costs'!P:P,'1. Staff Costs'!C:C,B58,'1. Staff Costs'!I:I,$D$3,'1. Staff Costs'!Q:Q,"&lt;&gt;Error")</f>
        <v>0</v>
      </c>
      <c r="E58" s="182">
        <f>SUMIFS('1. Staff Costs'!R:R,'1. Staff Costs'!C:C,B58,'1. Staff Costs'!I:I,$D$3,'1. Staff Costs'!Q:Q,"&lt;&gt;Error")</f>
        <v>0</v>
      </c>
      <c r="F58" s="182">
        <f>SUMIFS('1. Staff Costs'!P:P,'1. Staff Costs'!C:C,B58,'1. Staff Costs'!I:I,$F$3,'1. Staff Costs'!Q:Q,"&lt;&gt;Error")</f>
        <v>0</v>
      </c>
      <c r="G58" s="182">
        <f>SUMIFS('1. Staff Costs'!R:R,'1. Staff Costs'!C:C,B58,'1. Staff Costs'!I:I,$F$3,'1. Staff Costs'!Q:Q,"&lt;&gt;Error")</f>
        <v>0</v>
      </c>
      <c r="H58" s="182">
        <f>SUMIFS('1. Staff Costs'!P:P,'1. Staff Costs'!C:C,B58,'1. Staff Costs'!I:I,$H$3,'1. Staff Costs'!Q:Q,"&lt;&gt;Error")</f>
        <v>0</v>
      </c>
      <c r="I58" s="182">
        <f>SUMIFS('1. Staff Costs'!R:R,'1. Staff Costs'!C:C,B58,'1. Staff Costs'!I:I,$H$3,'1. Staff Costs'!Q:Q,"&lt;&gt;Error")</f>
        <v>0</v>
      </c>
      <c r="J58" s="182">
        <f>SUMIFS('1. Staff Costs'!P:P,'1. Staff Costs'!C:C,B58,'1. Staff Costs'!I:I,$J$3,'1. Staff Costs'!Q:Q,"&lt;&gt;Error")</f>
        <v>0</v>
      </c>
      <c r="K58" s="182">
        <f>SUMIFS('1. Staff Costs'!R:R,'1. Staff Costs'!C:C,B58,'1. Staff Costs'!I:I,$J$3,'1. Staff Costs'!Q:Q,"&lt;&gt;Error")</f>
        <v>0</v>
      </c>
      <c r="L58" s="183">
        <f t="shared" si="0"/>
        <v>0</v>
      </c>
      <c r="M58" s="183">
        <f t="shared" si="1"/>
        <v>0</v>
      </c>
    </row>
    <row r="59" spans="2:13" x14ac:dyDescent="0.4">
      <c r="B59" s="208" t="s">
        <v>150</v>
      </c>
      <c r="C59" s="208" t="str">
        <f>IF('Final financial statement'!E77=0,"",'Final financial statement'!E77)</f>
        <v/>
      </c>
      <c r="D59" s="182">
        <f>SUMIFS('1. Staff Costs'!P:P,'1. Staff Costs'!C:C,B59,'1. Staff Costs'!I:I,$D$3,'1. Staff Costs'!Q:Q,"&lt;&gt;Error")</f>
        <v>0</v>
      </c>
      <c r="E59" s="182">
        <f>SUMIFS('1. Staff Costs'!R:R,'1. Staff Costs'!C:C,B59,'1. Staff Costs'!I:I,$D$3,'1. Staff Costs'!Q:Q,"&lt;&gt;Error")</f>
        <v>0</v>
      </c>
      <c r="F59" s="182">
        <f>SUMIFS('1. Staff Costs'!P:P,'1. Staff Costs'!C:C,B59,'1. Staff Costs'!I:I,$F$3,'1. Staff Costs'!Q:Q,"&lt;&gt;Error")</f>
        <v>0</v>
      </c>
      <c r="G59" s="182">
        <f>SUMIFS('1. Staff Costs'!R:R,'1. Staff Costs'!C:C,B59,'1. Staff Costs'!I:I,$F$3,'1. Staff Costs'!Q:Q,"&lt;&gt;Error")</f>
        <v>0</v>
      </c>
      <c r="H59" s="182">
        <f>SUMIFS('1. Staff Costs'!P:P,'1. Staff Costs'!C:C,B59,'1. Staff Costs'!I:I,$H$3,'1. Staff Costs'!Q:Q,"&lt;&gt;Error")</f>
        <v>0</v>
      </c>
      <c r="I59" s="182">
        <f>SUMIFS('1. Staff Costs'!R:R,'1. Staff Costs'!C:C,B59,'1. Staff Costs'!I:I,$H$3,'1. Staff Costs'!Q:Q,"&lt;&gt;Error")</f>
        <v>0</v>
      </c>
      <c r="J59" s="182">
        <f>SUMIFS('1. Staff Costs'!P:P,'1. Staff Costs'!C:C,B59,'1. Staff Costs'!I:I,$J$3,'1. Staff Costs'!Q:Q,"&lt;&gt;Error")</f>
        <v>0</v>
      </c>
      <c r="K59" s="182">
        <f>SUMIFS('1. Staff Costs'!R:R,'1. Staff Costs'!C:C,B59,'1. Staff Costs'!I:I,$J$3,'1. Staff Costs'!Q:Q,"&lt;&gt;Error")</f>
        <v>0</v>
      </c>
      <c r="L59" s="183">
        <f t="shared" si="0"/>
        <v>0</v>
      </c>
      <c r="M59" s="183">
        <f t="shared" si="1"/>
        <v>0</v>
      </c>
    </row>
    <row r="60" spans="2:13" x14ac:dyDescent="0.4">
      <c r="B60" s="353" t="s">
        <v>376</v>
      </c>
      <c r="C60" s="354"/>
      <c r="D60" s="183">
        <f>SUM(D5:D59)</f>
        <v>86384</v>
      </c>
      <c r="E60" s="183">
        <f t="shared" ref="E60:K60" si="2">SUM(E5:E59)</f>
        <v>374</v>
      </c>
      <c r="F60" s="183">
        <f t="shared" si="2"/>
        <v>38723</v>
      </c>
      <c r="G60" s="183">
        <f t="shared" si="2"/>
        <v>386</v>
      </c>
      <c r="H60" s="183">
        <f t="shared" si="2"/>
        <v>0</v>
      </c>
      <c r="I60" s="183">
        <f t="shared" si="2"/>
        <v>0</v>
      </c>
      <c r="J60" s="183">
        <f t="shared" si="2"/>
        <v>0</v>
      </c>
      <c r="K60" s="183">
        <f t="shared" si="2"/>
        <v>0</v>
      </c>
      <c r="L60" s="183">
        <f>SUM(L5:L59)</f>
        <v>125107</v>
      </c>
      <c r="M60" s="183">
        <f>SUM(M5:M59)</f>
        <v>760</v>
      </c>
    </row>
    <row r="61" spans="2:13" ht="5.15" customHeight="1" x14ac:dyDescent="0.4"/>
    <row r="62" spans="2:13" ht="30" customHeight="1" x14ac:dyDescent="0.4">
      <c r="B62" s="330" t="s">
        <v>215</v>
      </c>
      <c r="C62" s="330"/>
      <c r="D62" s="330"/>
      <c r="E62" s="330"/>
      <c r="F62" s="330"/>
      <c r="G62" s="330"/>
      <c r="H62" s="330"/>
      <c r="I62" s="330"/>
      <c r="J62" s="330"/>
      <c r="K62" s="330"/>
      <c r="L62" s="330"/>
      <c r="M62" s="330"/>
    </row>
    <row r="63" spans="2:13" ht="18" customHeight="1" x14ac:dyDescent="0.4">
      <c r="B63" s="345" t="s">
        <v>179</v>
      </c>
      <c r="C63" s="345" t="s">
        <v>475</v>
      </c>
      <c r="D63" s="243" t="s">
        <v>181</v>
      </c>
      <c r="E63" s="243"/>
      <c r="F63" s="243"/>
      <c r="G63" s="243" t="s">
        <v>182</v>
      </c>
      <c r="H63" s="243"/>
      <c r="I63" s="243"/>
      <c r="J63" s="345" t="s">
        <v>221</v>
      </c>
      <c r="K63" s="345" t="s">
        <v>374</v>
      </c>
      <c r="L63" s="349" t="s">
        <v>222</v>
      </c>
      <c r="M63" s="334" t="s">
        <v>217</v>
      </c>
    </row>
    <row r="64" spans="2:13" ht="53.25" customHeight="1" x14ac:dyDescent="0.4">
      <c r="B64" s="345"/>
      <c r="C64" s="345"/>
      <c r="D64" s="209" t="s">
        <v>219</v>
      </c>
      <c r="E64" s="209" t="s">
        <v>381</v>
      </c>
      <c r="F64" s="209" t="s">
        <v>220</v>
      </c>
      <c r="G64" s="209" t="s">
        <v>219</v>
      </c>
      <c r="H64" s="209" t="s">
        <v>381</v>
      </c>
      <c r="I64" s="209" t="s">
        <v>220</v>
      </c>
      <c r="J64" s="345"/>
      <c r="K64" s="345"/>
      <c r="L64" s="349"/>
      <c r="M64" s="335"/>
    </row>
    <row r="65" spans="2:13" x14ac:dyDescent="0.4">
      <c r="B65" s="208" t="s">
        <v>6</v>
      </c>
      <c r="C65" s="208" t="str">
        <f>IF('Final financial statement'!E23=0,"",'Final financial statement'!E23)</f>
        <v>Coord</v>
      </c>
      <c r="D65" s="182">
        <f>SUMIFS('2-3-6. Travel Costs&amp;CoS&amp;EC'!U:U,'2-3-6. Travel Costs&amp;CoS&amp;EC'!C:C,B65,'2-3-6. Travel Costs&amp;CoS&amp;EC'!I:I,$D$63,'2-3-6. Travel Costs&amp;CoS&amp;EC'!Y:Y,1,'2-3-6. Travel Costs&amp;CoS&amp;EC'!X:X,"&lt;&gt;Error")</f>
        <v>0</v>
      </c>
      <c r="E65" s="182">
        <f>SUMIFS('2-3-6. Travel Costs&amp;CoS&amp;EC'!U:U,'2-3-6. Travel Costs&amp;CoS&amp;EC'!C:C,B65,'2-3-6. Travel Costs&amp;CoS&amp;EC'!I:I,$D$63,'2-3-6. Travel Costs&amp;CoS&amp;EC'!Y:Y,2,'2-3-6. Travel Costs&amp;CoS&amp;EC'!X:X,"&lt;&gt;Error")</f>
        <v>0</v>
      </c>
      <c r="F65" s="182">
        <f>SUMIFS('2-3-6. Travel Costs&amp;CoS&amp;EC'!V:V,'2-3-6. Travel Costs&amp;CoS&amp;EC'!C:C,B65,'2-3-6. Travel Costs&amp;CoS&amp;EC'!I:I,$D$63,'2-3-6. Travel Costs&amp;CoS&amp;EC'!X:X,"&lt;&gt;Error")</f>
        <v>0</v>
      </c>
      <c r="G65" s="182">
        <f>SUMIFS('2-3-6. Travel Costs&amp;CoS&amp;EC'!U:U,'2-3-6. Travel Costs&amp;CoS&amp;EC'!C:C,B65,'2-3-6. Travel Costs&amp;CoS&amp;EC'!I:I,$G$63,'2-3-6. Travel Costs&amp;CoS&amp;EC'!Y:Y,1,'2-3-6. Travel Costs&amp;CoS&amp;EC'!X:X,"&lt;&gt;Error")</f>
        <v>0</v>
      </c>
      <c r="H65" s="182">
        <f>SUMIFS('2-3-6. Travel Costs&amp;CoS&amp;EC'!U:U,'2-3-6. Travel Costs&amp;CoS&amp;EC'!C:C,B65,'2-3-6. Travel Costs&amp;CoS&amp;EC'!I:I,$G$63,'2-3-6. Travel Costs&amp;CoS&amp;EC'!Y:Y,2,'2-3-6. Travel Costs&amp;CoS&amp;EC'!X:X,"&lt;&gt;Error")</f>
        <v>0</v>
      </c>
      <c r="I65" s="182">
        <f>SUMIFS('2-3-6. Travel Costs&amp;CoS&amp;EC'!V:V,'2-3-6. Travel Costs&amp;CoS&amp;EC'!C:C,B65,'2-3-6. Travel Costs&amp;CoS&amp;EC'!I:I,$G$63,'2-3-6. Travel Costs&amp;CoS&amp;EC'!X:X,"&lt;&gt;Error")</f>
        <v>0</v>
      </c>
      <c r="J65" s="183">
        <f>D65+G65</f>
        <v>0</v>
      </c>
      <c r="K65" s="183">
        <f>E65+H65</f>
        <v>0</v>
      </c>
      <c r="L65" s="183">
        <f>F65+I65</f>
        <v>0</v>
      </c>
      <c r="M65" s="183">
        <f>J65+K65+L65</f>
        <v>0</v>
      </c>
    </row>
    <row r="66" spans="2:13" x14ac:dyDescent="0.4">
      <c r="B66" s="208" t="s">
        <v>7</v>
      </c>
      <c r="C66" s="208" t="str">
        <f>IF('Final financial statement'!E24=0,"",'Final financial statement'!E24)</f>
        <v>Partner</v>
      </c>
      <c r="D66" s="182">
        <f>SUMIFS('2-3-6. Travel Costs&amp;CoS&amp;EC'!U:U,'2-3-6. Travel Costs&amp;CoS&amp;EC'!C:C,B66,'2-3-6. Travel Costs&amp;CoS&amp;EC'!I:I,$D$63,'2-3-6. Travel Costs&amp;CoS&amp;EC'!Y:Y,1,'2-3-6. Travel Costs&amp;CoS&amp;EC'!X:X,"&lt;&gt;Error")</f>
        <v>0</v>
      </c>
      <c r="E66" s="182">
        <f>SUMIFS('2-3-6. Travel Costs&amp;CoS&amp;EC'!U:U,'2-3-6. Travel Costs&amp;CoS&amp;EC'!C:C,B66,'2-3-6. Travel Costs&amp;CoS&amp;EC'!I:I,$D$63,'2-3-6. Travel Costs&amp;CoS&amp;EC'!Y:Y,2,'2-3-6. Travel Costs&amp;CoS&amp;EC'!X:X,"&lt;&gt;Error")</f>
        <v>0</v>
      </c>
      <c r="F66" s="182">
        <f>SUMIFS('2-3-6. Travel Costs&amp;CoS&amp;EC'!V:V,'2-3-6. Travel Costs&amp;CoS&amp;EC'!C:C,B66,'2-3-6. Travel Costs&amp;CoS&amp;EC'!I:I,$D$63,'2-3-6. Travel Costs&amp;CoS&amp;EC'!X:X,"&lt;&gt;Error")</f>
        <v>0</v>
      </c>
      <c r="G66" s="182">
        <f>SUMIFS('2-3-6. Travel Costs&amp;CoS&amp;EC'!U:U,'2-3-6. Travel Costs&amp;CoS&amp;EC'!C:C,B66,'2-3-6. Travel Costs&amp;CoS&amp;EC'!I:I,$G$63,'2-3-6. Travel Costs&amp;CoS&amp;EC'!Y:Y,1,'2-3-6. Travel Costs&amp;CoS&amp;EC'!X:X,"&lt;&gt;Error")</f>
        <v>0</v>
      </c>
      <c r="H66" s="182">
        <f>SUMIFS('2-3-6. Travel Costs&amp;CoS&amp;EC'!U:U,'2-3-6. Travel Costs&amp;CoS&amp;EC'!C:C,B66,'2-3-6. Travel Costs&amp;CoS&amp;EC'!I:I,$G$63,'2-3-6. Travel Costs&amp;CoS&amp;EC'!Y:Y,2,'2-3-6. Travel Costs&amp;CoS&amp;EC'!X:X,"&lt;&gt;Error")</f>
        <v>0</v>
      </c>
      <c r="I66" s="182">
        <f>SUMIFS('2-3-6. Travel Costs&amp;CoS&amp;EC'!V:V,'2-3-6. Travel Costs&amp;CoS&amp;EC'!C:C,B66,'2-3-6. Travel Costs&amp;CoS&amp;EC'!I:I,$G$63,'2-3-6. Travel Costs&amp;CoS&amp;EC'!X:X,"&lt;&gt;Error")</f>
        <v>0</v>
      </c>
      <c r="J66" s="183">
        <f t="shared" ref="J66:J119" si="3">D66+G66</f>
        <v>0</v>
      </c>
      <c r="K66" s="183">
        <f t="shared" ref="K66:K119" si="4">E66+H66</f>
        <v>0</v>
      </c>
      <c r="L66" s="183">
        <f t="shared" ref="L66:L119" si="5">F66+I66</f>
        <v>0</v>
      </c>
      <c r="M66" s="183">
        <f t="shared" ref="M66:M119" si="6">J66+K66+L66</f>
        <v>0</v>
      </c>
    </row>
    <row r="67" spans="2:13" x14ac:dyDescent="0.4">
      <c r="B67" s="208" t="s">
        <v>8</v>
      </c>
      <c r="C67" s="208" t="str">
        <f>IF('Final financial statement'!E25=0,"",'Final financial statement'!E25)</f>
        <v>Partner</v>
      </c>
      <c r="D67" s="182">
        <f>SUMIFS('2-3-6. Travel Costs&amp;CoS&amp;EC'!U:U,'2-3-6. Travel Costs&amp;CoS&amp;EC'!C:C,B67,'2-3-6. Travel Costs&amp;CoS&amp;EC'!I:I,$D$63,'2-3-6. Travel Costs&amp;CoS&amp;EC'!Y:Y,1,'2-3-6. Travel Costs&amp;CoS&amp;EC'!X:X,"&lt;&gt;Error")</f>
        <v>0</v>
      </c>
      <c r="E67" s="182">
        <f>SUMIFS('2-3-6. Travel Costs&amp;CoS&amp;EC'!U:U,'2-3-6. Travel Costs&amp;CoS&amp;EC'!C:C,B67,'2-3-6. Travel Costs&amp;CoS&amp;EC'!I:I,$D$63,'2-3-6. Travel Costs&amp;CoS&amp;EC'!Y:Y,2,'2-3-6. Travel Costs&amp;CoS&amp;EC'!X:X,"&lt;&gt;Error")</f>
        <v>0</v>
      </c>
      <c r="F67" s="182">
        <f>SUMIFS('2-3-6. Travel Costs&amp;CoS&amp;EC'!V:V,'2-3-6. Travel Costs&amp;CoS&amp;EC'!C:C,B67,'2-3-6. Travel Costs&amp;CoS&amp;EC'!I:I,$D$63,'2-3-6. Travel Costs&amp;CoS&amp;EC'!X:X,"&lt;&gt;Error")</f>
        <v>0</v>
      </c>
      <c r="G67" s="182">
        <f>SUMIFS('2-3-6. Travel Costs&amp;CoS&amp;EC'!U:U,'2-3-6. Travel Costs&amp;CoS&amp;EC'!C:C,B67,'2-3-6. Travel Costs&amp;CoS&amp;EC'!I:I,$G$63,'2-3-6. Travel Costs&amp;CoS&amp;EC'!Y:Y,1,'2-3-6. Travel Costs&amp;CoS&amp;EC'!X:X,"&lt;&gt;Error")</f>
        <v>0</v>
      </c>
      <c r="H67" s="182">
        <f>SUMIFS('2-3-6. Travel Costs&amp;CoS&amp;EC'!U:U,'2-3-6. Travel Costs&amp;CoS&amp;EC'!C:C,B67,'2-3-6. Travel Costs&amp;CoS&amp;EC'!I:I,$G$63,'2-3-6. Travel Costs&amp;CoS&amp;EC'!Y:Y,2,'2-3-6. Travel Costs&amp;CoS&amp;EC'!X:X,"&lt;&gt;Error")</f>
        <v>0</v>
      </c>
      <c r="I67" s="182">
        <f>SUMIFS('2-3-6. Travel Costs&amp;CoS&amp;EC'!V:V,'2-3-6. Travel Costs&amp;CoS&amp;EC'!C:C,B67,'2-3-6. Travel Costs&amp;CoS&amp;EC'!I:I,$G$63,'2-3-6. Travel Costs&amp;CoS&amp;EC'!X:X,"&lt;&gt;Error")</f>
        <v>0</v>
      </c>
      <c r="J67" s="183">
        <f t="shared" si="3"/>
        <v>0</v>
      </c>
      <c r="K67" s="183">
        <f t="shared" si="4"/>
        <v>0</v>
      </c>
      <c r="L67" s="183">
        <f t="shared" si="5"/>
        <v>0</v>
      </c>
      <c r="M67" s="183">
        <f t="shared" si="6"/>
        <v>0</v>
      </c>
    </row>
    <row r="68" spans="2:13" x14ac:dyDescent="0.4">
      <c r="B68" s="208" t="s">
        <v>9</v>
      </c>
      <c r="C68" s="208" t="str">
        <f>IF('Final financial statement'!E26=0,"",'Final financial statement'!E26)</f>
        <v>Partner</v>
      </c>
      <c r="D68" s="182">
        <f>SUMIFS('2-3-6. Travel Costs&amp;CoS&amp;EC'!U:U,'2-3-6. Travel Costs&amp;CoS&amp;EC'!C:C,B68,'2-3-6. Travel Costs&amp;CoS&amp;EC'!I:I,$D$63,'2-3-6. Travel Costs&amp;CoS&amp;EC'!Y:Y,1,'2-3-6. Travel Costs&amp;CoS&amp;EC'!X:X,"&lt;&gt;Error")</f>
        <v>0</v>
      </c>
      <c r="E68" s="182">
        <f>SUMIFS('2-3-6. Travel Costs&amp;CoS&amp;EC'!U:U,'2-3-6. Travel Costs&amp;CoS&amp;EC'!C:C,B68,'2-3-6. Travel Costs&amp;CoS&amp;EC'!I:I,$D$63,'2-3-6. Travel Costs&amp;CoS&amp;EC'!Y:Y,2,'2-3-6. Travel Costs&amp;CoS&amp;EC'!X:X,"&lt;&gt;Error")</f>
        <v>0</v>
      </c>
      <c r="F68" s="182">
        <f>SUMIFS('2-3-6. Travel Costs&amp;CoS&amp;EC'!V:V,'2-3-6. Travel Costs&amp;CoS&amp;EC'!C:C,B68,'2-3-6. Travel Costs&amp;CoS&amp;EC'!I:I,$D$63,'2-3-6. Travel Costs&amp;CoS&amp;EC'!X:X,"&lt;&gt;Error")</f>
        <v>0</v>
      </c>
      <c r="G68" s="182">
        <f>SUMIFS('2-3-6. Travel Costs&amp;CoS&amp;EC'!U:U,'2-3-6. Travel Costs&amp;CoS&amp;EC'!C:C,B68,'2-3-6. Travel Costs&amp;CoS&amp;EC'!I:I,$G$63,'2-3-6. Travel Costs&amp;CoS&amp;EC'!Y:Y,1,'2-3-6. Travel Costs&amp;CoS&amp;EC'!X:X,"&lt;&gt;Error")</f>
        <v>0</v>
      </c>
      <c r="H68" s="182">
        <f>SUMIFS('2-3-6. Travel Costs&amp;CoS&amp;EC'!U:U,'2-3-6. Travel Costs&amp;CoS&amp;EC'!C:C,B68,'2-3-6. Travel Costs&amp;CoS&amp;EC'!I:I,$G$63,'2-3-6. Travel Costs&amp;CoS&amp;EC'!Y:Y,2,'2-3-6. Travel Costs&amp;CoS&amp;EC'!X:X,"&lt;&gt;Error")</f>
        <v>0</v>
      </c>
      <c r="I68" s="182">
        <f>SUMIFS('2-3-6. Travel Costs&amp;CoS&amp;EC'!V:V,'2-3-6. Travel Costs&amp;CoS&amp;EC'!C:C,B68,'2-3-6. Travel Costs&amp;CoS&amp;EC'!I:I,$G$63,'2-3-6. Travel Costs&amp;CoS&amp;EC'!X:X,"&lt;&gt;Error")</f>
        <v>0</v>
      </c>
      <c r="J68" s="183">
        <f t="shared" si="3"/>
        <v>0</v>
      </c>
      <c r="K68" s="183">
        <f t="shared" si="4"/>
        <v>0</v>
      </c>
      <c r="L68" s="183">
        <f t="shared" si="5"/>
        <v>0</v>
      </c>
      <c r="M68" s="183">
        <f t="shared" si="6"/>
        <v>0</v>
      </c>
    </row>
    <row r="69" spans="2:13" x14ac:dyDescent="0.4">
      <c r="B69" s="208" t="s">
        <v>10</v>
      </c>
      <c r="C69" s="208" t="str">
        <f>IF('Final financial statement'!E27=0,"",'Final financial statement'!E27)</f>
        <v>Partner</v>
      </c>
      <c r="D69" s="182">
        <f>SUMIFS('2-3-6. Travel Costs&amp;CoS&amp;EC'!U:U,'2-3-6. Travel Costs&amp;CoS&amp;EC'!C:C,B69,'2-3-6. Travel Costs&amp;CoS&amp;EC'!I:I,$D$63,'2-3-6. Travel Costs&amp;CoS&amp;EC'!Y:Y,1,'2-3-6. Travel Costs&amp;CoS&amp;EC'!X:X,"&lt;&gt;Error")</f>
        <v>0</v>
      </c>
      <c r="E69" s="182">
        <f>SUMIFS('2-3-6. Travel Costs&amp;CoS&amp;EC'!U:U,'2-3-6. Travel Costs&amp;CoS&amp;EC'!C:C,B69,'2-3-6. Travel Costs&amp;CoS&amp;EC'!I:I,$D$63,'2-3-6. Travel Costs&amp;CoS&amp;EC'!Y:Y,2,'2-3-6. Travel Costs&amp;CoS&amp;EC'!X:X,"&lt;&gt;Error")</f>
        <v>0</v>
      </c>
      <c r="F69" s="182">
        <f>SUMIFS('2-3-6. Travel Costs&amp;CoS&amp;EC'!V:V,'2-3-6. Travel Costs&amp;CoS&amp;EC'!C:C,B69,'2-3-6. Travel Costs&amp;CoS&amp;EC'!I:I,$D$63,'2-3-6. Travel Costs&amp;CoS&amp;EC'!X:X,"&lt;&gt;Error")</f>
        <v>0</v>
      </c>
      <c r="G69" s="182">
        <f>SUMIFS('2-3-6. Travel Costs&amp;CoS&amp;EC'!U:U,'2-3-6. Travel Costs&amp;CoS&amp;EC'!C:C,B69,'2-3-6. Travel Costs&amp;CoS&amp;EC'!I:I,$G$63,'2-3-6. Travel Costs&amp;CoS&amp;EC'!Y:Y,1,'2-3-6. Travel Costs&amp;CoS&amp;EC'!X:X,"&lt;&gt;Error")</f>
        <v>0</v>
      </c>
      <c r="H69" s="182">
        <f>SUMIFS('2-3-6. Travel Costs&amp;CoS&amp;EC'!U:U,'2-3-6. Travel Costs&amp;CoS&amp;EC'!C:C,B69,'2-3-6. Travel Costs&amp;CoS&amp;EC'!I:I,$G$63,'2-3-6. Travel Costs&amp;CoS&amp;EC'!Y:Y,2,'2-3-6. Travel Costs&amp;CoS&amp;EC'!X:X,"&lt;&gt;Error")</f>
        <v>0</v>
      </c>
      <c r="I69" s="182">
        <f>SUMIFS('2-3-6. Travel Costs&amp;CoS&amp;EC'!V:V,'2-3-6. Travel Costs&amp;CoS&amp;EC'!C:C,B69,'2-3-6. Travel Costs&amp;CoS&amp;EC'!I:I,$G$63,'2-3-6. Travel Costs&amp;CoS&amp;EC'!X:X,"&lt;&gt;Error")</f>
        <v>0</v>
      </c>
      <c r="J69" s="183">
        <f t="shared" si="3"/>
        <v>0</v>
      </c>
      <c r="K69" s="183">
        <f t="shared" si="4"/>
        <v>0</v>
      </c>
      <c r="L69" s="183">
        <f t="shared" si="5"/>
        <v>0</v>
      </c>
      <c r="M69" s="183">
        <f t="shared" si="6"/>
        <v>0</v>
      </c>
    </row>
    <row r="70" spans="2:13" x14ac:dyDescent="0.4">
      <c r="B70" s="208" t="s">
        <v>11</v>
      </c>
      <c r="C70" s="208" t="str">
        <f>IF('Final financial statement'!E28=0,"",'Final financial statement'!E28)</f>
        <v>Partner</v>
      </c>
      <c r="D70" s="182">
        <f>SUMIFS('2-3-6. Travel Costs&amp;CoS&amp;EC'!U:U,'2-3-6. Travel Costs&amp;CoS&amp;EC'!C:C,B70,'2-3-6. Travel Costs&amp;CoS&amp;EC'!I:I,$D$63,'2-3-6. Travel Costs&amp;CoS&amp;EC'!Y:Y,1,'2-3-6. Travel Costs&amp;CoS&amp;EC'!X:X,"&lt;&gt;Error")</f>
        <v>0</v>
      </c>
      <c r="E70" s="182">
        <f>SUMIFS('2-3-6. Travel Costs&amp;CoS&amp;EC'!U:U,'2-3-6. Travel Costs&amp;CoS&amp;EC'!C:C,B70,'2-3-6. Travel Costs&amp;CoS&amp;EC'!I:I,$D$63,'2-3-6. Travel Costs&amp;CoS&amp;EC'!Y:Y,2,'2-3-6. Travel Costs&amp;CoS&amp;EC'!X:X,"&lt;&gt;Error")</f>
        <v>0</v>
      </c>
      <c r="F70" s="182">
        <f>SUMIFS('2-3-6. Travel Costs&amp;CoS&amp;EC'!V:V,'2-3-6. Travel Costs&amp;CoS&amp;EC'!C:C,B70,'2-3-6. Travel Costs&amp;CoS&amp;EC'!I:I,$D$63,'2-3-6. Travel Costs&amp;CoS&amp;EC'!X:X,"&lt;&gt;Error")</f>
        <v>0</v>
      </c>
      <c r="G70" s="182">
        <f>SUMIFS('2-3-6. Travel Costs&amp;CoS&amp;EC'!U:U,'2-3-6. Travel Costs&amp;CoS&amp;EC'!C:C,B70,'2-3-6. Travel Costs&amp;CoS&amp;EC'!I:I,$G$63,'2-3-6. Travel Costs&amp;CoS&amp;EC'!Y:Y,1,'2-3-6. Travel Costs&amp;CoS&amp;EC'!X:X,"&lt;&gt;Error")</f>
        <v>0</v>
      </c>
      <c r="H70" s="182">
        <f>SUMIFS('2-3-6. Travel Costs&amp;CoS&amp;EC'!U:U,'2-3-6. Travel Costs&amp;CoS&amp;EC'!C:C,B70,'2-3-6. Travel Costs&amp;CoS&amp;EC'!I:I,$G$63,'2-3-6. Travel Costs&amp;CoS&amp;EC'!Y:Y,2,'2-3-6. Travel Costs&amp;CoS&amp;EC'!X:X,"&lt;&gt;Error")</f>
        <v>0</v>
      </c>
      <c r="I70" s="182">
        <f>SUMIFS('2-3-6. Travel Costs&amp;CoS&amp;EC'!V:V,'2-3-6. Travel Costs&amp;CoS&amp;EC'!C:C,B70,'2-3-6. Travel Costs&amp;CoS&amp;EC'!I:I,$G$63,'2-3-6. Travel Costs&amp;CoS&amp;EC'!X:X,"&lt;&gt;Error")</f>
        <v>0</v>
      </c>
      <c r="J70" s="183">
        <f t="shared" si="3"/>
        <v>0</v>
      </c>
      <c r="K70" s="183">
        <f t="shared" si="4"/>
        <v>0</v>
      </c>
      <c r="L70" s="183">
        <f t="shared" si="5"/>
        <v>0</v>
      </c>
      <c r="M70" s="183">
        <f t="shared" si="6"/>
        <v>0</v>
      </c>
    </row>
    <row r="71" spans="2:13" x14ac:dyDescent="0.4">
      <c r="B71" s="208" t="s">
        <v>12</v>
      </c>
      <c r="C71" s="208" t="str">
        <f>IF('Final financial statement'!E29=0,"",'Final financial statement'!E29)</f>
        <v>Partner</v>
      </c>
      <c r="D71" s="182">
        <f>SUMIFS('2-3-6. Travel Costs&amp;CoS&amp;EC'!U:U,'2-3-6. Travel Costs&amp;CoS&amp;EC'!C:C,B71,'2-3-6. Travel Costs&amp;CoS&amp;EC'!I:I,$D$63,'2-3-6. Travel Costs&amp;CoS&amp;EC'!Y:Y,1,'2-3-6. Travel Costs&amp;CoS&amp;EC'!X:X,"&lt;&gt;Error")</f>
        <v>0</v>
      </c>
      <c r="E71" s="182">
        <f>SUMIFS('2-3-6. Travel Costs&amp;CoS&amp;EC'!U:U,'2-3-6. Travel Costs&amp;CoS&amp;EC'!C:C,B71,'2-3-6. Travel Costs&amp;CoS&amp;EC'!I:I,$D$63,'2-3-6. Travel Costs&amp;CoS&amp;EC'!Y:Y,2,'2-3-6. Travel Costs&amp;CoS&amp;EC'!X:X,"&lt;&gt;Error")</f>
        <v>0</v>
      </c>
      <c r="F71" s="182">
        <f>SUMIFS('2-3-6. Travel Costs&amp;CoS&amp;EC'!V:V,'2-3-6. Travel Costs&amp;CoS&amp;EC'!C:C,B71,'2-3-6. Travel Costs&amp;CoS&amp;EC'!I:I,$D$63,'2-3-6. Travel Costs&amp;CoS&amp;EC'!X:X,"&lt;&gt;Error")</f>
        <v>0</v>
      </c>
      <c r="G71" s="182">
        <f>SUMIFS('2-3-6. Travel Costs&amp;CoS&amp;EC'!U:U,'2-3-6. Travel Costs&amp;CoS&amp;EC'!C:C,B71,'2-3-6. Travel Costs&amp;CoS&amp;EC'!I:I,$G$63,'2-3-6. Travel Costs&amp;CoS&amp;EC'!Y:Y,1,'2-3-6. Travel Costs&amp;CoS&amp;EC'!X:X,"&lt;&gt;Error")</f>
        <v>0</v>
      </c>
      <c r="H71" s="182">
        <f>SUMIFS('2-3-6. Travel Costs&amp;CoS&amp;EC'!U:U,'2-3-6. Travel Costs&amp;CoS&amp;EC'!C:C,B71,'2-3-6. Travel Costs&amp;CoS&amp;EC'!I:I,$G$63,'2-3-6. Travel Costs&amp;CoS&amp;EC'!Y:Y,2,'2-3-6. Travel Costs&amp;CoS&amp;EC'!X:X,"&lt;&gt;Error")</f>
        <v>0</v>
      </c>
      <c r="I71" s="182">
        <f>SUMIFS('2-3-6. Travel Costs&amp;CoS&amp;EC'!V:V,'2-3-6. Travel Costs&amp;CoS&amp;EC'!C:C,B71,'2-3-6. Travel Costs&amp;CoS&amp;EC'!I:I,$G$63,'2-3-6. Travel Costs&amp;CoS&amp;EC'!X:X,"&lt;&gt;Error")</f>
        <v>0</v>
      </c>
      <c r="J71" s="183">
        <f t="shared" si="3"/>
        <v>0</v>
      </c>
      <c r="K71" s="183">
        <f t="shared" si="4"/>
        <v>0</v>
      </c>
      <c r="L71" s="183">
        <f t="shared" si="5"/>
        <v>0</v>
      </c>
      <c r="M71" s="183">
        <f t="shared" si="6"/>
        <v>0</v>
      </c>
    </row>
    <row r="72" spans="2:13" x14ac:dyDescent="0.4">
      <c r="B72" s="208" t="s">
        <v>13</v>
      </c>
      <c r="C72" s="208" t="str">
        <f>IF('Final financial statement'!E30=0,"",'Final financial statement'!E30)</f>
        <v>Partner</v>
      </c>
      <c r="D72" s="182">
        <f>SUMIFS('2-3-6. Travel Costs&amp;CoS&amp;EC'!U:U,'2-3-6. Travel Costs&amp;CoS&amp;EC'!C:C,B72,'2-3-6. Travel Costs&amp;CoS&amp;EC'!I:I,$D$63,'2-3-6. Travel Costs&amp;CoS&amp;EC'!Y:Y,1,'2-3-6. Travel Costs&amp;CoS&amp;EC'!X:X,"&lt;&gt;Error")</f>
        <v>0</v>
      </c>
      <c r="E72" s="182">
        <f>SUMIFS('2-3-6. Travel Costs&amp;CoS&amp;EC'!U:U,'2-3-6. Travel Costs&amp;CoS&amp;EC'!C:C,B72,'2-3-6. Travel Costs&amp;CoS&amp;EC'!I:I,$D$63,'2-3-6. Travel Costs&amp;CoS&amp;EC'!Y:Y,2,'2-3-6. Travel Costs&amp;CoS&amp;EC'!X:X,"&lt;&gt;Error")</f>
        <v>0</v>
      </c>
      <c r="F72" s="182">
        <f>SUMIFS('2-3-6. Travel Costs&amp;CoS&amp;EC'!V:V,'2-3-6. Travel Costs&amp;CoS&amp;EC'!C:C,B72,'2-3-6. Travel Costs&amp;CoS&amp;EC'!I:I,$D$63,'2-3-6. Travel Costs&amp;CoS&amp;EC'!X:X,"&lt;&gt;Error")</f>
        <v>0</v>
      </c>
      <c r="G72" s="182">
        <f>SUMIFS('2-3-6. Travel Costs&amp;CoS&amp;EC'!U:U,'2-3-6. Travel Costs&amp;CoS&amp;EC'!C:C,B72,'2-3-6. Travel Costs&amp;CoS&amp;EC'!I:I,$G$63,'2-3-6. Travel Costs&amp;CoS&amp;EC'!Y:Y,1,'2-3-6. Travel Costs&amp;CoS&amp;EC'!X:X,"&lt;&gt;Error")</f>
        <v>0</v>
      </c>
      <c r="H72" s="182">
        <f>SUMIFS('2-3-6. Travel Costs&amp;CoS&amp;EC'!U:U,'2-3-6. Travel Costs&amp;CoS&amp;EC'!C:C,B72,'2-3-6. Travel Costs&amp;CoS&amp;EC'!I:I,$G$63,'2-3-6. Travel Costs&amp;CoS&amp;EC'!Y:Y,2,'2-3-6. Travel Costs&amp;CoS&amp;EC'!X:X,"&lt;&gt;Error")</f>
        <v>0</v>
      </c>
      <c r="I72" s="182">
        <f>SUMIFS('2-3-6. Travel Costs&amp;CoS&amp;EC'!V:V,'2-3-6. Travel Costs&amp;CoS&amp;EC'!C:C,B72,'2-3-6. Travel Costs&amp;CoS&amp;EC'!I:I,$G$63,'2-3-6. Travel Costs&amp;CoS&amp;EC'!X:X,"&lt;&gt;Error")</f>
        <v>0</v>
      </c>
      <c r="J72" s="183">
        <f t="shared" si="3"/>
        <v>0</v>
      </c>
      <c r="K72" s="183">
        <f t="shared" si="4"/>
        <v>0</v>
      </c>
      <c r="L72" s="183">
        <f t="shared" si="5"/>
        <v>0</v>
      </c>
      <c r="M72" s="183">
        <f t="shared" si="6"/>
        <v>0</v>
      </c>
    </row>
    <row r="73" spans="2:13" x14ac:dyDescent="0.4">
      <c r="B73" s="208" t="s">
        <v>14</v>
      </c>
      <c r="C73" s="208" t="str">
        <f>IF('Final financial statement'!E31=0,"",'Final financial statement'!E31)</f>
        <v>Partner</v>
      </c>
      <c r="D73" s="182">
        <f>SUMIFS('2-3-6. Travel Costs&amp;CoS&amp;EC'!U:U,'2-3-6. Travel Costs&amp;CoS&amp;EC'!C:C,B73,'2-3-6. Travel Costs&amp;CoS&amp;EC'!I:I,$D$63,'2-3-6. Travel Costs&amp;CoS&amp;EC'!Y:Y,1,'2-3-6. Travel Costs&amp;CoS&amp;EC'!X:X,"&lt;&gt;Error")</f>
        <v>0</v>
      </c>
      <c r="E73" s="182">
        <f>SUMIFS('2-3-6. Travel Costs&amp;CoS&amp;EC'!U:U,'2-3-6. Travel Costs&amp;CoS&amp;EC'!C:C,B73,'2-3-6. Travel Costs&amp;CoS&amp;EC'!I:I,$D$63,'2-3-6. Travel Costs&amp;CoS&amp;EC'!Y:Y,2,'2-3-6. Travel Costs&amp;CoS&amp;EC'!X:X,"&lt;&gt;Error")</f>
        <v>0</v>
      </c>
      <c r="F73" s="182">
        <f>SUMIFS('2-3-6. Travel Costs&amp;CoS&amp;EC'!V:V,'2-3-6. Travel Costs&amp;CoS&amp;EC'!C:C,B73,'2-3-6. Travel Costs&amp;CoS&amp;EC'!I:I,$D$63,'2-3-6. Travel Costs&amp;CoS&amp;EC'!X:X,"&lt;&gt;Error")</f>
        <v>0</v>
      </c>
      <c r="G73" s="182">
        <f>SUMIFS('2-3-6. Travel Costs&amp;CoS&amp;EC'!U:U,'2-3-6. Travel Costs&amp;CoS&amp;EC'!C:C,B73,'2-3-6. Travel Costs&amp;CoS&amp;EC'!I:I,$G$63,'2-3-6. Travel Costs&amp;CoS&amp;EC'!Y:Y,1,'2-3-6. Travel Costs&amp;CoS&amp;EC'!X:X,"&lt;&gt;Error")</f>
        <v>0</v>
      </c>
      <c r="H73" s="182">
        <f>SUMIFS('2-3-6. Travel Costs&amp;CoS&amp;EC'!U:U,'2-3-6. Travel Costs&amp;CoS&amp;EC'!C:C,B73,'2-3-6. Travel Costs&amp;CoS&amp;EC'!I:I,$G$63,'2-3-6. Travel Costs&amp;CoS&amp;EC'!Y:Y,2,'2-3-6. Travel Costs&amp;CoS&amp;EC'!X:X,"&lt;&gt;Error")</f>
        <v>0</v>
      </c>
      <c r="I73" s="182">
        <f>SUMIFS('2-3-6. Travel Costs&amp;CoS&amp;EC'!V:V,'2-3-6. Travel Costs&amp;CoS&amp;EC'!C:C,B73,'2-3-6. Travel Costs&amp;CoS&amp;EC'!I:I,$G$63,'2-3-6. Travel Costs&amp;CoS&amp;EC'!X:X,"&lt;&gt;Error")</f>
        <v>0</v>
      </c>
      <c r="J73" s="183">
        <f t="shared" si="3"/>
        <v>0</v>
      </c>
      <c r="K73" s="183">
        <f t="shared" si="4"/>
        <v>0</v>
      </c>
      <c r="L73" s="183">
        <f t="shared" si="5"/>
        <v>0</v>
      </c>
      <c r="M73" s="183">
        <f t="shared" si="6"/>
        <v>0</v>
      </c>
    </row>
    <row r="74" spans="2:13" x14ac:dyDescent="0.4">
      <c r="B74" s="208" t="s">
        <v>15</v>
      </c>
      <c r="C74" s="208" t="str">
        <f>IF('Final financial statement'!E32=0,"",'Final financial statement'!E32)</f>
        <v>Partner</v>
      </c>
      <c r="D74" s="182">
        <f>SUMIFS('2-3-6. Travel Costs&amp;CoS&amp;EC'!U:U,'2-3-6. Travel Costs&amp;CoS&amp;EC'!C:C,B74,'2-3-6. Travel Costs&amp;CoS&amp;EC'!I:I,$D$63,'2-3-6. Travel Costs&amp;CoS&amp;EC'!Y:Y,1,'2-3-6. Travel Costs&amp;CoS&amp;EC'!X:X,"&lt;&gt;Error")</f>
        <v>0</v>
      </c>
      <c r="E74" s="182">
        <f>SUMIFS('2-3-6. Travel Costs&amp;CoS&amp;EC'!U:U,'2-3-6. Travel Costs&amp;CoS&amp;EC'!C:C,B74,'2-3-6. Travel Costs&amp;CoS&amp;EC'!I:I,$D$63,'2-3-6. Travel Costs&amp;CoS&amp;EC'!Y:Y,2,'2-3-6. Travel Costs&amp;CoS&amp;EC'!X:X,"&lt;&gt;Error")</f>
        <v>0</v>
      </c>
      <c r="F74" s="182">
        <f>SUMIFS('2-3-6. Travel Costs&amp;CoS&amp;EC'!V:V,'2-3-6. Travel Costs&amp;CoS&amp;EC'!C:C,B74,'2-3-6. Travel Costs&amp;CoS&amp;EC'!I:I,$D$63,'2-3-6. Travel Costs&amp;CoS&amp;EC'!X:X,"&lt;&gt;Error")</f>
        <v>0</v>
      </c>
      <c r="G74" s="182">
        <f>SUMIFS('2-3-6. Travel Costs&amp;CoS&amp;EC'!U:U,'2-3-6. Travel Costs&amp;CoS&amp;EC'!C:C,B74,'2-3-6. Travel Costs&amp;CoS&amp;EC'!I:I,$G$63,'2-3-6. Travel Costs&amp;CoS&amp;EC'!Y:Y,1,'2-3-6. Travel Costs&amp;CoS&amp;EC'!X:X,"&lt;&gt;Error")</f>
        <v>0</v>
      </c>
      <c r="H74" s="182">
        <f>SUMIFS('2-3-6. Travel Costs&amp;CoS&amp;EC'!U:U,'2-3-6. Travel Costs&amp;CoS&amp;EC'!C:C,B74,'2-3-6. Travel Costs&amp;CoS&amp;EC'!I:I,$G$63,'2-3-6. Travel Costs&amp;CoS&amp;EC'!Y:Y,2,'2-3-6. Travel Costs&amp;CoS&amp;EC'!X:X,"&lt;&gt;Error")</f>
        <v>0</v>
      </c>
      <c r="I74" s="182">
        <f>SUMIFS('2-3-6. Travel Costs&amp;CoS&amp;EC'!V:V,'2-3-6. Travel Costs&amp;CoS&amp;EC'!C:C,B74,'2-3-6. Travel Costs&amp;CoS&amp;EC'!I:I,$G$63,'2-3-6. Travel Costs&amp;CoS&amp;EC'!X:X,"&lt;&gt;Error")</f>
        <v>0</v>
      </c>
      <c r="J74" s="183">
        <f t="shared" si="3"/>
        <v>0</v>
      </c>
      <c r="K74" s="183">
        <f t="shared" si="4"/>
        <v>0</v>
      </c>
      <c r="L74" s="183">
        <f t="shared" si="5"/>
        <v>0</v>
      </c>
      <c r="M74" s="183">
        <f t="shared" si="6"/>
        <v>0</v>
      </c>
    </row>
    <row r="75" spans="2:13" x14ac:dyDescent="0.4">
      <c r="B75" s="208" t="s">
        <v>16</v>
      </c>
      <c r="C75" s="208" t="str">
        <f>IF('Final financial statement'!E33=0,"",'Final financial statement'!E33)</f>
        <v>Partner</v>
      </c>
      <c r="D75" s="182">
        <f>SUMIFS('2-3-6. Travel Costs&amp;CoS&amp;EC'!U:U,'2-3-6. Travel Costs&amp;CoS&amp;EC'!C:C,B75,'2-3-6. Travel Costs&amp;CoS&amp;EC'!I:I,$D$63,'2-3-6. Travel Costs&amp;CoS&amp;EC'!Y:Y,1,'2-3-6. Travel Costs&amp;CoS&amp;EC'!X:X,"&lt;&gt;Error")</f>
        <v>0</v>
      </c>
      <c r="E75" s="182">
        <f>SUMIFS('2-3-6. Travel Costs&amp;CoS&amp;EC'!U:U,'2-3-6. Travel Costs&amp;CoS&amp;EC'!C:C,B75,'2-3-6. Travel Costs&amp;CoS&amp;EC'!I:I,$D$63,'2-3-6. Travel Costs&amp;CoS&amp;EC'!Y:Y,2,'2-3-6. Travel Costs&amp;CoS&amp;EC'!X:X,"&lt;&gt;Error")</f>
        <v>0</v>
      </c>
      <c r="F75" s="182">
        <f>SUMIFS('2-3-6. Travel Costs&amp;CoS&amp;EC'!V:V,'2-3-6. Travel Costs&amp;CoS&amp;EC'!C:C,B75,'2-3-6. Travel Costs&amp;CoS&amp;EC'!I:I,$D$63,'2-3-6. Travel Costs&amp;CoS&amp;EC'!X:X,"&lt;&gt;Error")</f>
        <v>0</v>
      </c>
      <c r="G75" s="182">
        <f>SUMIFS('2-3-6. Travel Costs&amp;CoS&amp;EC'!U:U,'2-3-6. Travel Costs&amp;CoS&amp;EC'!C:C,B75,'2-3-6. Travel Costs&amp;CoS&amp;EC'!I:I,$G$63,'2-3-6. Travel Costs&amp;CoS&amp;EC'!Y:Y,1,'2-3-6. Travel Costs&amp;CoS&amp;EC'!X:X,"&lt;&gt;Error")</f>
        <v>0</v>
      </c>
      <c r="H75" s="182">
        <f>SUMIFS('2-3-6. Travel Costs&amp;CoS&amp;EC'!U:U,'2-3-6. Travel Costs&amp;CoS&amp;EC'!C:C,B75,'2-3-6. Travel Costs&amp;CoS&amp;EC'!I:I,$G$63,'2-3-6. Travel Costs&amp;CoS&amp;EC'!Y:Y,2,'2-3-6. Travel Costs&amp;CoS&amp;EC'!X:X,"&lt;&gt;Error")</f>
        <v>0</v>
      </c>
      <c r="I75" s="182">
        <f>SUMIFS('2-3-6. Travel Costs&amp;CoS&amp;EC'!V:V,'2-3-6. Travel Costs&amp;CoS&amp;EC'!C:C,B75,'2-3-6. Travel Costs&amp;CoS&amp;EC'!I:I,$G$63,'2-3-6. Travel Costs&amp;CoS&amp;EC'!X:X,"&lt;&gt;Error")</f>
        <v>0</v>
      </c>
      <c r="J75" s="183">
        <f t="shared" si="3"/>
        <v>0</v>
      </c>
      <c r="K75" s="183">
        <f t="shared" si="4"/>
        <v>0</v>
      </c>
      <c r="L75" s="183">
        <f t="shared" si="5"/>
        <v>0</v>
      </c>
      <c r="M75" s="183">
        <f t="shared" si="6"/>
        <v>0</v>
      </c>
    </row>
    <row r="76" spans="2:13" x14ac:dyDescent="0.4">
      <c r="B76" s="208" t="s">
        <v>17</v>
      </c>
      <c r="C76" s="208" t="str">
        <f>IF('Final financial statement'!E34=0,"",'Final financial statement'!E34)</f>
        <v/>
      </c>
      <c r="D76" s="182">
        <f>SUMIFS('2-3-6. Travel Costs&amp;CoS&amp;EC'!U:U,'2-3-6. Travel Costs&amp;CoS&amp;EC'!C:C,B76,'2-3-6. Travel Costs&amp;CoS&amp;EC'!I:I,$D$63,'2-3-6. Travel Costs&amp;CoS&amp;EC'!Y:Y,1,'2-3-6. Travel Costs&amp;CoS&amp;EC'!X:X,"&lt;&gt;Error")</f>
        <v>0</v>
      </c>
      <c r="E76" s="182">
        <f>SUMIFS('2-3-6. Travel Costs&amp;CoS&amp;EC'!U:U,'2-3-6. Travel Costs&amp;CoS&amp;EC'!C:C,B76,'2-3-6. Travel Costs&amp;CoS&amp;EC'!I:I,$D$63,'2-3-6. Travel Costs&amp;CoS&amp;EC'!Y:Y,2,'2-3-6. Travel Costs&amp;CoS&amp;EC'!X:X,"&lt;&gt;Error")</f>
        <v>0</v>
      </c>
      <c r="F76" s="182">
        <f>SUMIFS('2-3-6. Travel Costs&amp;CoS&amp;EC'!V:V,'2-3-6. Travel Costs&amp;CoS&amp;EC'!C:C,B76,'2-3-6. Travel Costs&amp;CoS&amp;EC'!I:I,$D$63,'2-3-6. Travel Costs&amp;CoS&amp;EC'!X:X,"&lt;&gt;Error")</f>
        <v>0</v>
      </c>
      <c r="G76" s="182">
        <f>SUMIFS('2-3-6. Travel Costs&amp;CoS&amp;EC'!U:U,'2-3-6. Travel Costs&amp;CoS&amp;EC'!C:C,B76,'2-3-6. Travel Costs&amp;CoS&amp;EC'!I:I,$G$63,'2-3-6. Travel Costs&amp;CoS&amp;EC'!Y:Y,1,'2-3-6. Travel Costs&amp;CoS&amp;EC'!X:X,"&lt;&gt;Error")</f>
        <v>0</v>
      </c>
      <c r="H76" s="182">
        <f>SUMIFS('2-3-6. Travel Costs&amp;CoS&amp;EC'!U:U,'2-3-6. Travel Costs&amp;CoS&amp;EC'!C:C,B76,'2-3-6. Travel Costs&amp;CoS&amp;EC'!I:I,$G$63,'2-3-6. Travel Costs&amp;CoS&amp;EC'!Y:Y,2,'2-3-6. Travel Costs&amp;CoS&amp;EC'!X:X,"&lt;&gt;Error")</f>
        <v>0</v>
      </c>
      <c r="I76" s="182">
        <f>SUMIFS('2-3-6. Travel Costs&amp;CoS&amp;EC'!V:V,'2-3-6. Travel Costs&amp;CoS&amp;EC'!C:C,B76,'2-3-6. Travel Costs&amp;CoS&amp;EC'!I:I,$G$63,'2-3-6. Travel Costs&amp;CoS&amp;EC'!X:X,"&lt;&gt;Error")</f>
        <v>0</v>
      </c>
      <c r="J76" s="183">
        <f t="shared" si="3"/>
        <v>0</v>
      </c>
      <c r="K76" s="183">
        <f t="shared" si="4"/>
        <v>0</v>
      </c>
      <c r="L76" s="183">
        <f t="shared" si="5"/>
        <v>0</v>
      </c>
      <c r="M76" s="183">
        <f t="shared" si="6"/>
        <v>0</v>
      </c>
    </row>
    <row r="77" spans="2:13" x14ac:dyDescent="0.4">
      <c r="B77" s="208" t="s">
        <v>145</v>
      </c>
      <c r="C77" s="208" t="str">
        <f>IF('Final financial statement'!E35=0,"",'Final financial statement'!E35)</f>
        <v/>
      </c>
      <c r="D77" s="182">
        <f>SUMIFS('2-3-6. Travel Costs&amp;CoS&amp;EC'!U:U,'2-3-6. Travel Costs&amp;CoS&amp;EC'!C:C,B77,'2-3-6. Travel Costs&amp;CoS&amp;EC'!I:I,$D$63,'2-3-6. Travel Costs&amp;CoS&amp;EC'!Y:Y,1,'2-3-6. Travel Costs&amp;CoS&amp;EC'!X:X,"&lt;&gt;Error")</f>
        <v>0</v>
      </c>
      <c r="E77" s="182">
        <f>SUMIFS('2-3-6. Travel Costs&amp;CoS&amp;EC'!U:U,'2-3-6. Travel Costs&amp;CoS&amp;EC'!C:C,B77,'2-3-6. Travel Costs&amp;CoS&amp;EC'!I:I,$D$63,'2-3-6. Travel Costs&amp;CoS&amp;EC'!Y:Y,2,'2-3-6. Travel Costs&amp;CoS&amp;EC'!X:X,"&lt;&gt;Error")</f>
        <v>0</v>
      </c>
      <c r="F77" s="182">
        <f>SUMIFS('2-3-6. Travel Costs&amp;CoS&amp;EC'!V:V,'2-3-6. Travel Costs&amp;CoS&amp;EC'!C:C,B77,'2-3-6. Travel Costs&amp;CoS&amp;EC'!I:I,$D$63,'2-3-6. Travel Costs&amp;CoS&amp;EC'!X:X,"&lt;&gt;Error")</f>
        <v>0</v>
      </c>
      <c r="G77" s="182">
        <f>SUMIFS('2-3-6. Travel Costs&amp;CoS&amp;EC'!U:U,'2-3-6. Travel Costs&amp;CoS&amp;EC'!C:C,B77,'2-3-6. Travel Costs&amp;CoS&amp;EC'!I:I,$G$63,'2-3-6. Travel Costs&amp;CoS&amp;EC'!Y:Y,1,'2-3-6. Travel Costs&amp;CoS&amp;EC'!X:X,"&lt;&gt;Error")</f>
        <v>0</v>
      </c>
      <c r="H77" s="182">
        <f>SUMIFS('2-3-6. Travel Costs&amp;CoS&amp;EC'!U:U,'2-3-6. Travel Costs&amp;CoS&amp;EC'!C:C,B77,'2-3-6. Travel Costs&amp;CoS&amp;EC'!I:I,$G$63,'2-3-6. Travel Costs&amp;CoS&amp;EC'!Y:Y,2,'2-3-6. Travel Costs&amp;CoS&amp;EC'!X:X,"&lt;&gt;Error")</f>
        <v>0</v>
      </c>
      <c r="I77" s="182">
        <f>SUMIFS('2-3-6. Travel Costs&amp;CoS&amp;EC'!V:V,'2-3-6. Travel Costs&amp;CoS&amp;EC'!C:C,B77,'2-3-6. Travel Costs&amp;CoS&amp;EC'!I:I,$G$63,'2-3-6. Travel Costs&amp;CoS&amp;EC'!X:X,"&lt;&gt;Error")</f>
        <v>0</v>
      </c>
      <c r="J77" s="183">
        <f t="shared" si="3"/>
        <v>0</v>
      </c>
      <c r="K77" s="183">
        <f t="shared" si="4"/>
        <v>0</v>
      </c>
      <c r="L77" s="183">
        <f t="shared" si="5"/>
        <v>0</v>
      </c>
      <c r="M77" s="183">
        <f t="shared" si="6"/>
        <v>0</v>
      </c>
    </row>
    <row r="78" spans="2:13" x14ac:dyDescent="0.4">
      <c r="B78" s="208" t="s">
        <v>18</v>
      </c>
      <c r="C78" s="208" t="str">
        <f>IF('Final financial statement'!E36=0,"",'Final financial statement'!E36)</f>
        <v/>
      </c>
      <c r="D78" s="182">
        <f>SUMIFS('2-3-6. Travel Costs&amp;CoS&amp;EC'!U:U,'2-3-6. Travel Costs&amp;CoS&amp;EC'!C:C,B78,'2-3-6. Travel Costs&amp;CoS&amp;EC'!I:I,$D$63,'2-3-6. Travel Costs&amp;CoS&amp;EC'!Y:Y,1,'2-3-6. Travel Costs&amp;CoS&amp;EC'!X:X,"&lt;&gt;Error")</f>
        <v>0</v>
      </c>
      <c r="E78" s="182">
        <f>SUMIFS('2-3-6. Travel Costs&amp;CoS&amp;EC'!U:U,'2-3-6. Travel Costs&amp;CoS&amp;EC'!C:C,B78,'2-3-6. Travel Costs&amp;CoS&amp;EC'!I:I,$D$63,'2-3-6. Travel Costs&amp;CoS&amp;EC'!Y:Y,2,'2-3-6. Travel Costs&amp;CoS&amp;EC'!X:X,"&lt;&gt;Error")</f>
        <v>0</v>
      </c>
      <c r="F78" s="182">
        <f>SUMIFS('2-3-6. Travel Costs&amp;CoS&amp;EC'!V:V,'2-3-6. Travel Costs&amp;CoS&amp;EC'!C:C,B78,'2-3-6. Travel Costs&amp;CoS&amp;EC'!I:I,$D$63,'2-3-6. Travel Costs&amp;CoS&amp;EC'!X:X,"&lt;&gt;Error")</f>
        <v>0</v>
      </c>
      <c r="G78" s="182">
        <f>SUMIFS('2-3-6. Travel Costs&amp;CoS&amp;EC'!U:U,'2-3-6. Travel Costs&amp;CoS&amp;EC'!C:C,B78,'2-3-6. Travel Costs&amp;CoS&amp;EC'!I:I,$G$63,'2-3-6. Travel Costs&amp;CoS&amp;EC'!Y:Y,1,'2-3-6. Travel Costs&amp;CoS&amp;EC'!X:X,"&lt;&gt;Error")</f>
        <v>0</v>
      </c>
      <c r="H78" s="182">
        <f>SUMIFS('2-3-6. Travel Costs&amp;CoS&amp;EC'!U:U,'2-3-6. Travel Costs&amp;CoS&amp;EC'!C:C,B78,'2-3-6. Travel Costs&amp;CoS&amp;EC'!I:I,$G$63,'2-3-6. Travel Costs&amp;CoS&amp;EC'!Y:Y,2,'2-3-6. Travel Costs&amp;CoS&amp;EC'!X:X,"&lt;&gt;Error")</f>
        <v>0</v>
      </c>
      <c r="I78" s="182">
        <f>SUMIFS('2-3-6. Travel Costs&amp;CoS&amp;EC'!V:V,'2-3-6. Travel Costs&amp;CoS&amp;EC'!C:C,B78,'2-3-6. Travel Costs&amp;CoS&amp;EC'!I:I,$G$63,'2-3-6. Travel Costs&amp;CoS&amp;EC'!X:X,"&lt;&gt;Error")</f>
        <v>0</v>
      </c>
      <c r="J78" s="183">
        <f t="shared" si="3"/>
        <v>0</v>
      </c>
      <c r="K78" s="183">
        <f t="shared" si="4"/>
        <v>0</v>
      </c>
      <c r="L78" s="183">
        <f t="shared" si="5"/>
        <v>0</v>
      </c>
      <c r="M78" s="183">
        <f t="shared" si="6"/>
        <v>0</v>
      </c>
    </row>
    <row r="79" spans="2:13" x14ac:dyDescent="0.4">
      <c r="B79" s="208" t="s">
        <v>19</v>
      </c>
      <c r="C79" s="208" t="str">
        <f>IF('Final financial statement'!E37=0,"",'Final financial statement'!E37)</f>
        <v/>
      </c>
      <c r="D79" s="182">
        <f>SUMIFS('2-3-6. Travel Costs&amp;CoS&amp;EC'!U:U,'2-3-6. Travel Costs&amp;CoS&amp;EC'!C:C,B79,'2-3-6. Travel Costs&amp;CoS&amp;EC'!I:I,$D$63,'2-3-6. Travel Costs&amp;CoS&amp;EC'!Y:Y,1,'2-3-6. Travel Costs&amp;CoS&amp;EC'!X:X,"&lt;&gt;Error")</f>
        <v>0</v>
      </c>
      <c r="E79" s="182">
        <f>SUMIFS('2-3-6. Travel Costs&amp;CoS&amp;EC'!U:U,'2-3-6. Travel Costs&amp;CoS&amp;EC'!C:C,B79,'2-3-6. Travel Costs&amp;CoS&amp;EC'!I:I,$D$63,'2-3-6. Travel Costs&amp;CoS&amp;EC'!Y:Y,2,'2-3-6. Travel Costs&amp;CoS&amp;EC'!X:X,"&lt;&gt;Error")</f>
        <v>0</v>
      </c>
      <c r="F79" s="182">
        <f>SUMIFS('2-3-6. Travel Costs&amp;CoS&amp;EC'!V:V,'2-3-6. Travel Costs&amp;CoS&amp;EC'!C:C,B79,'2-3-6. Travel Costs&amp;CoS&amp;EC'!I:I,$D$63,'2-3-6. Travel Costs&amp;CoS&amp;EC'!X:X,"&lt;&gt;Error")</f>
        <v>0</v>
      </c>
      <c r="G79" s="182">
        <f>SUMIFS('2-3-6. Travel Costs&amp;CoS&amp;EC'!U:U,'2-3-6. Travel Costs&amp;CoS&amp;EC'!C:C,B79,'2-3-6. Travel Costs&amp;CoS&amp;EC'!I:I,$G$63,'2-3-6. Travel Costs&amp;CoS&amp;EC'!Y:Y,1,'2-3-6. Travel Costs&amp;CoS&amp;EC'!X:X,"&lt;&gt;Error")</f>
        <v>0</v>
      </c>
      <c r="H79" s="182">
        <f>SUMIFS('2-3-6. Travel Costs&amp;CoS&amp;EC'!U:U,'2-3-6. Travel Costs&amp;CoS&amp;EC'!C:C,B79,'2-3-6. Travel Costs&amp;CoS&amp;EC'!I:I,$G$63,'2-3-6. Travel Costs&amp;CoS&amp;EC'!Y:Y,2,'2-3-6. Travel Costs&amp;CoS&amp;EC'!X:X,"&lt;&gt;Error")</f>
        <v>0</v>
      </c>
      <c r="I79" s="182">
        <f>SUMIFS('2-3-6. Travel Costs&amp;CoS&amp;EC'!V:V,'2-3-6. Travel Costs&amp;CoS&amp;EC'!C:C,B79,'2-3-6. Travel Costs&amp;CoS&amp;EC'!I:I,$G$63,'2-3-6. Travel Costs&amp;CoS&amp;EC'!X:X,"&lt;&gt;Error")</f>
        <v>0</v>
      </c>
      <c r="J79" s="183">
        <f t="shared" si="3"/>
        <v>0</v>
      </c>
      <c r="K79" s="183">
        <f t="shared" si="4"/>
        <v>0</v>
      </c>
      <c r="L79" s="183">
        <f t="shared" si="5"/>
        <v>0</v>
      </c>
      <c r="M79" s="183">
        <f t="shared" si="6"/>
        <v>0</v>
      </c>
    </row>
    <row r="80" spans="2:13" x14ac:dyDescent="0.4">
      <c r="B80" s="208" t="s">
        <v>20</v>
      </c>
      <c r="C80" s="208" t="str">
        <f>IF('Final financial statement'!E38=0,"",'Final financial statement'!E38)</f>
        <v/>
      </c>
      <c r="D80" s="182">
        <f>SUMIFS('2-3-6. Travel Costs&amp;CoS&amp;EC'!U:U,'2-3-6. Travel Costs&amp;CoS&amp;EC'!C:C,B80,'2-3-6. Travel Costs&amp;CoS&amp;EC'!I:I,$D$63,'2-3-6. Travel Costs&amp;CoS&amp;EC'!Y:Y,1,'2-3-6. Travel Costs&amp;CoS&amp;EC'!X:X,"&lt;&gt;Error")</f>
        <v>0</v>
      </c>
      <c r="E80" s="182">
        <f>SUMIFS('2-3-6. Travel Costs&amp;CoS&amp;EC'!U:U,'2-3-6. Travel Costs&amp;CoS&amp;EC'!C:C,B80,'2-3-6. Travel Costs&amp;CoS&amp;EC'!I:I,$D$63,'2-3-6. Travel Costs&amp;CoS&amp;EC'!Y:Y,2,'2-3-6. Travel Costs&amp;CoS&amp;EC'!X:X,"&lt;&gt;Error")</f>
        <v>0</v>
      </c>
      <c r="F80" s="182">
        <f>SUMIFS('2-3-6. Travel Costs&amp;CoS&amp;EC'!V:V,'2-3-6. Travel Costs&amp;CoS&amp;EC'!C:C,B80,'2-3-6. Travel Costs&amp;CoS&amp;EC'!I:I,$D$63,'2-3-6. Travel Costs&amp;CoS&amp;EC'!X:X,"&lt;&gt;Error")</f>
        <v>0</v>
      </c>
      <c r="G80" s="182">
        <f>SUMIFS('2-3-6. Travel Costs&amp;CoS&amp;EC'!U:U,'2-3-6. Travel Costs&amp;CoS&amp;EC'!C:C,B80,'2-3-6. Travel Costs&amp;CoS&amp;EC'!I:I,$G$63,'2-3-6. Travel Costs&amp;CoS&amp;EC'!Y:Y,1,'2-3-6. Travel Costs&amp;CoS&amp;EC'!X:X,"&lt;&gt;Error")</f>
        <v>0</v>
      </c>
      <c r="H80" s="182">
        <f>SUMIFS('2-3-6. Travel Costs&amp;CoS&amp;EC'!U:U,'2-3-6. Travel Costs&amp;CoS&amp;EC'!C:C,B80,'2-3-6. Travel Costs&amp;CoS&amp;EC'!I:I,$G$63,'2-3-6. Travel Costs&amp;CoS&amp;EC'!Y:Y,2,'2-3-6. Travel Costs&amp;CoS&amp;EC'!X:X,"&lt;&gt;Error")</f>
        <v>0</v>
      </c>
      <c r="I80" s="182">
        <f>SUMIFS('2-3-6. Travel Costs&amp;CoS&amp;EC'!V:V,'2-3-6. Travel Costs&amp;CoS&amp;EC'!C:C,B80,'2-3-6. Travel Costs&amp;CoS&amp;EC'!I:I,$G$63,'2-3-6. Travel Costs&amp;CoS&amp;EC'!X:X,"&lt;&gt;Error")</f>
        <v>0</v>
      </c>
      <c r="J80" s="183">
        <f t="shared" si="3"/>
        <v>0</v>
      </c>
      <c r="K80" s="183">
        <f t="shared" si="4"/>
        <v>0</v>
      </c>
      <c r="L80" s="183">
        <f t="shared" si="5"/>
        <v>0</v>
      </c>
      <c r="M80" s="183">
        <f t="shared" si="6"/>
        <v>0</v>
      </c>
    </row>
    <row r="81" spans="2:13" x14ac:dyDescent="0.4">
      <c r="B81" s="208" t="s">
        <v>21</v>
      </c>
      <c r="C81" s="208" t="str">
        <f>IF('Final financial statement'!E39=0,"",'Final financial statement'!E39)</f>
        <v/>
      </c>
      <c r="D81" s="182">
        <f>SUMIFS('2-3-6. Travel Costs&amp;CoS&amp;EC'!U:U,'2-3-6. Travel Costs&amp;CoS&amp;EC'!C:C,B81,'2-3-6. Travel Costs&amp;CoS&amp;EC'!I:I,$D$63,'2-3-6. Travel Costs&amp;CoS&amp;EC'!Y:Y,1,'2-3-6. Travel Costs&amp;CoS&amp;EC'!X:X,"&lt;&gt;Error")</f>
        <v>0</v>
      </c>
      <c r="E81" s="182">
        <f>SUMIFS('2-3-6. Travel Costs&amp;CoS&amp;EC'!U:U,'2-3-6. Travel Costs&amp;CoS&amp;EC'!C:C,B81,'2-3-6. Travel Costs&amp;CoS&amp;EC'!I:I,$D$63,'2-3-6. Travel Costs&amp;CoS&amp;EC'!Y:Y,2,'2-3-6. Travel Costs&amp;CoS&amp;EC'!X:X,"&lt;&gt;Error")</f>
        <v>0</v>
      </c>
      <c r="F81" s="182">
        <f>SUMIFS('2-3-6. Travel Costs&amp;CoS&amp;EC'!V:V,'2-3-6. Travel Costs&amp;CoS&amp;EC'!C:C,B81,'2-3-6. Travel Costs&amp;CoS&amp;EC'!I:I,$D$63,'2-3-6. Travel Costs&amp;CoS&amp;EC'!X:X,"&lt;&gt;Error")</f>
        <v>0</v>
      </c>
      <c r="G81" s="182">
        <f>SUMIFS('2-3-6. Travel Costs&amp;CoS&amp;EC'!U:U,'2-3-6. Travel Costs&amp;CoS&amp;EC'!C:C,B81,'2-3-6. Travel Costs&amp;CoS&amp;EC'!I:I,$G$63,'2-3-6. Travel Costs&amp;CoS&amp;EC'!Y:Y,1,'2-3-6. Travel Costs&amp;CoS&amp;EC'!X:X,"&lt;&gt;Error")</f>
        <v>0</v>
      </c>
      <c r="H81" s="182">
        <f>SUMIFS('2-3-6. Travel Costs&amp;CoS&amp;EC'!U:U,'2-3-6. Travel Costs&amp;CoS&amp;EC'!C:C,B81,'2-3-6. Travel Costs&amp;CoS&amp;EC'!I:I,$G$63,'2-3-6. Travel Costs&amp;CoS&amp;EC'!Y:Y,2,'2-3-6. Travel Costs&amp;CoS&amp;EC'!X:X,"&lt;&gt;Error")</f>
        <v>0</v>
      </c>
      <c r="I81" s="182">
        <f>SUMIFS('2-3-6. Travel Costs&amp;CoS&amp;EC'!V:V,'2-3-6. Travel Costs&amp;CoS&amp;EC'!C:C,B81,'2-3-6. Travel Costs&amp;CoS&amp;EC'!I:I,$G$63,'2-3-6. Travel Costs&amp;CoS&amp;EC'!X:X,"&lt;&gt;Error")</f>
        <v>0</v>
      </c>
      <c r="J81" s="183">
        <f t="shared" si="3"/>
        <v>0</v>
      </c>
      <c r="K81" s="183">
        <f t="shared" si="4"/>
        <v>0</v>
      </c>
      <c r="L81" s="183">
        <f t="shared" si="5"/>
        <v>0</v>
      </c>
      <c r="M81" s="183">
        <f t="shared" si="6"/>
        <v>0</v>
      </c>
    </row>
    <row r="82" spans="2:13" x14ac:dyDescent="0.4">
      <c r="B82" s="208" t="s">
        <v>22</v>
      </c>
      <c r="C82" s="208" t="str">
        <f>IF('Final financial statement'!E40=0,"",'Final financial statement'!E40)</f>
        <v/>
      </c>
      <c r="D82" s="182">
        <f>SUMIFS('2-3-6. Travel Costs&amp;CoS&amp;EC'!U:U,'2-3-6. Travel Costs&amp;CoS&amp;EC'!C:C,B82,'2-3-6. Travel Costs&amp;CoS&amp;EC'!I:I,$D$63,'2-3-6. Travel Costs&amp;CoS&amp;EC'!Y:Y,1,'2-3-6. Travel Costs&amp;CoS&amp;EC'!X:X,"&lt;&gt;Error")</f>
        <v>0</v>
      </c>
      <c r="E82" s="182">
        <f>SUMIFS('2-3-6. Travel Costs&amp;CoS&amp;EC'!U:U,'2-3-6. Travel Costs&amp;CoS&amp;EC'!C:C,B82,'2-3-6. Travel Costs&amp;CoS&amp;EC'!I:I,$D$63,'2-3-6. Travel Costs&amp;CoS&amp;EC'!Y:Y,2,'2-3-6. Travel Costs&amp;CoS&amp;EC'!X:X,"&lt;&gt;Error")</f>
        <v>0</v>
      </c>
      <c r="F82" s="182">
        <f>SUMIFS('2-3-6. Travel Costs&amp;CoS&amp;EC'!V:V,'2-3-6. Travel Costs&amp;CoS&amp;EC'!C:C,B82,'2-3-6. Travel Costs&amp;CoS&amp;EC'!I:I,$D$63,'2-3-6. Travel Costs&amp;CoS&amp;EC'!X:X,"&lt;&gt;Error")</f>
        <v>0</v>
      </c>
      <c r="G82" s="182">
        <f>SUMIFS('2-3-6. Travel Costs&amp;CoS&amp;EC'!U:U,'2-3-6. Travel Costs&amp;CoS&amp;EC'!C:C,B82,'2-3-6. Travel Costs&amp;CoS&amp;EC'!I:I,$G$63,'2-3-6. Travel Costs&amp;CoS&amp;EC'!Y:Y,1,'2-3-6. Travel Costs&amp;CoS&amp;EC'!X:X,"&lt;&gt;Error")</f>
        <v>0</v>
      </c>
      <c r="H82" s="182">
        <f>SUMIFS('2-3-6. Travel Costs&amp;CoS&amp;EC'!U:U,'2-3-6. Travel Costs&amp;CoS&amp;EC'!C:C,B82,'2-3-6. Travel Costs&amp;CoS&amp;EC'!I:I,$G$63,'2-3-6. Travel Costs&amp;CoS&amp;EC'!Y:Y,2,'2-3-6. Travel Costs&amp;CoS&amp;EC'!X:X,"&lt;&gt;Error")</f>
        <v>0</v>
      </c>
      <c r="I82" s="182">
        <f>SUMIFS('2-3-6. Travel Costs&amp;CoS&amp;EC'!V:V,'2-3-6. Travel Costs&amp;CoS&amp;EC'!C:C,B82,'2-3-6. Travel Costs&amp;CoS&amp;EC'!I:I,$G$63,'2-3-6. Travel Costs&amp;CoS&amp;EC'!X:X,"&lt;&gt;Error")</f>
        <v>0</v>
      </c>
      <c r="J82" s="183">
        <f t="shared" si="3"/>
        <v>0</v>
      </c>
      <c r="K82" s="183">
        <f t="shared" si="4"/>
        <v>0</v>
      </c>
      <c r="L82" s="183">
        <f t="shared" si="5"/>
        <v>0</v>
      </c>
      <c r="M82" s="183">
        <f t="shared" si="6"/>
        <v>0</v>
      </c>
    </row>
    <row r="83" spans="2:13" x14ac:dyDescent="0.4">
      <c r="B83" s="208" t="s">
        <v>23</v>
      </c>
      <c r="C83" s="208" t="str">
        <f>IF('Final financial statement'!E41=0,"",'Final financial statement'!E41)</f>
        <v/>
      </c>
      <c r="D83" s="182">
        <f>SUMIFS('2-3-6. Travel Costs&amp;CoS&amp;EC'!U:U,'2-3-6. Travel Costs&amp;CoS&amp;EC'!C:C,B83,'2-3-6. Travel Costs&amp;CoS&amp;EC'!I:I,$D$63,'2-3-6. Travel Costs&amp;CoS&amp;EC'!Y:Y,1,'2-3-6. Travel Costs&amp;CoS&amp;EC'!X:X,"&lt;&gt;Error")</f>
        <v>0</v>
      </c>
      <c r="E83" s="182">
        <f>SUMIFS('2-3-6. Travel Costs&amp;CoS&amp;EC'!U:U,'2-3-6. Travel Costs&amp;CoS&amp;EC'!C:C,B83,'2-3-6. Travel Costs&amp;CoS&amp;EC'!I:I,$D$63,'2-3-6. Travel Costs&amp;CoS&amp;EC'!Y:Y,2,'2-3-6. Travel Costs&amp;CoS&amp;EC'!X:X,"&lt;&gt;Error")</f>
        <v>0</v>
      </c>
      <c r="F83" s="182">
        <f>SUMIFS('2-3-6. Travel Costs&amp;CoS&amp;EC'!V:V,'2-3-6. Travel Costs&amp;CoS&amp;EC'!C:C,B83,'2-3-6. Travel Costs&amp;CoS&amp;EC'!I:I,$D$63,'2-3-6. Travel Costs&amp;CoS&amp;EC'!X:X,"&lt;&gt;Error")</f>
        <v>0</v>
      </c>
      <c r="G83" s="182">
        <f>SUMIFS('2-3-6. Travel Costs&amp;CoS&amp;EC'!U:U,'2-3-6. Travel Costs&amp;CoS&amp;EC'!C:C,B83,'2-3-6. Travel Costs&amp;CoS&amp;EC'!I:I,$G$63,'2-3-6. Travel Costs&amp;CoS&amp;EC'!Y:Y,1,'2-3-6. Travel Costs&amp;CoS&amp;EC'!X:X,"&lt;&gt;Error")</f>
        <v>0</v>
      </c>
      <c r="H83" s="182">
        <f>SUMIFS('2-3-6. Travel Costs&amp;CoS&amp;EC'!U:U,'2-3-6. Travel Costs&amp;CoS&amp;EC'!C:C,B83,'2-3-6. Travel Costs&amp;CoS&amp;EC'!I:I,$G$63,'2-3-6. Travel Costs&amp;CoS&amp;EC'!Y:Y,2,'2-3-6. Travel Costs&amp;CoS&amp;EC'!X:X,"&lt;&gt;Error")</f>
        <v>0</v>
      </c>
      <c r="I83" s="182">
        <f>SUMIFS('2-3-6. Travel Costs&amp;CoS&amp;EC'!V:V,'2-3-6. Travel Costs&amp;CoS&amp;EC'!C:C,B83,'2-3-6. Travel Costs&amp;CoS&amp;EC'!I:I,$G$63,'2-3-6. Travel Costs&amp;CoS&amp;EC'!X:X,"&lt;&gt;Error")</f>
        <v>0</v>
      </c>
      <c r="J83" s="183">
        <f t="shared" si="3"/>
        <v>0</v>
      </c>
      <c r="K83" s="183">
        <f t="shared" si="4"/>
        <v>0</v>
      </c>
      <c r="L83" s="183">
        <f t="shared" si="5"/>
        <v>0</v>
      </c>
      <c r="M83" s="183">
        <f t="shared" si="6"/>
        <v>0</v>
      </c>
    </row>
    <row r="84" spans="2:13" x14ac:dyDescent="0.4">
      <c r="B84" s="208" t="s">
        <v>24</v>
      </c>
      <c r="C84" s="208" t="str">
        <f>IF('Final financial statement'!E42=0,"",'Final financial statement'!E42)</f>
        <v/>
      </c>
      <c r="D84" s="182">
        <f>SUMIFS('2-3-6. Travel Costs&amp;CoS&amp;EC'!U:U,'2-3-6. Travel Costs&amp;CoS&amp;EC'!C:C,B84,'2-3-6. Travel Costs&amp;CoS&amp;EC'!I:I,$D$63,'2-3-6. Travel Costs&amp;CoS&amp;EC'!Y:Y,1,'2-3-6. Travel Costs&amp;CoS&amp;EC'!X:X,"&lt;&gt;Error")</f>
        <v>0</v>
      </c>
      <c r="E84" s="182">
        <f>SUMIFS('2-3-6. Travel Costs&amp;CoS&amp;EC'!U:U,'2-3-6. Travel Costs&amp;CoS&amp;EC'!C:C,B84,'2-3-6. Travel Costs&amp;CoS&amp;EC'!I:I,$D$63,'2-3-6. Travel Costs&amp;CoS&amp;EC'!Y:Y,2,'2-3-6. Travel Costs&amp;CoS&amp;EC'!X:X,"&lt;&gt;Error")</f>
        <v>0</v>
      </c>
      <c r="F84" s="182">
        <f>SUMIFS('2-3-6. Travel Costs&amp;CoS&amp;EC'!V:V,'2-3-6. Travel Costs&amp;CoS&amp;EC'!C:C,B84,'2-3-6. Travel Costs&amp;CoS&amp;EC'!I:I,$D$63,'2-3-6. Travel Costs&amp;CoS&amp;EC'!X:X,"&lt;&gt;Error")</f>
        <v>0</v>
      </c>
      <c r="G84" s="182">
        <f>SUMIFS('2-3-6. Travel Costs&amp;CoS&amp;EC'!U:U,'2-3-6. Travel Costs&amp;CoS&amp;EC'!C:C,B84,'2-3-6. Travel Costs&amp;CoS&amp;EC'!I:I,$G$63,'2-3-6. Travel Costs&amp;CoS&amp;EC'!Y:Y,1,'2-3-6. Travel Costs&amp;CoS&amp;EC'!X:X,"&lt;&gt;Error")</f>
        <v>0</v>
      </c>
      <c r="H84" s="182">
        <f>SUMIFS('2-3-6. Travel Costs&amp;CoS&amp;EC'!U:U,'2-3-6. Travel Costs&amp;CoS&amp;EC'!C:C,B84,'2-3-6. Travel Costs&amp;CoS&amp;EC'!I:I,$G$63,'2-3-6. Travel Costs&amp;CoS&amp;EC'!Y:Y,2,'2-3-6. Travel Costs&amp;CoS&amp;EC'!X:X,"&lt;&gt;Error")</f>
        <v>0</v>
      </c>
      <c r="I84" s="182">
        <f>SUMIFS('2-3-6. Travel Costs&amp;CoS&amp;EC'!V:V,'2-3-6. Travel Costs&amp;CoS&amp;EC'!C:C,B84,'2-3-6. Travel Costs&amp;CoS&amp;EC'!I:I,$G$63,'2-3-6. Travel Costs&amp;CoS&amp;EC'!X:X,"&lt;&gt;Error")</f>
        <v>0</v>
      </c>
      <c r="J84" s="183">
        <f t="shared" si="3"/>
        <v>0</v>
      </c>
      <c r="K84" s="183">
        <f t="shared" si="4"/>
        <v>0</v>
      </c>
      <c r="L84" s="183">
        <f t="shared" si="5"/>
        <v>0</v>
      </c>
      <c r="M84" s="183">
        <f t="shared" si="6"/>
        <v>0</v>
      </c>
    </row>
    <row r="85" spans="2:13" x14ac:dyDescent="0.4">
      <c r="B85" s="208" t="s">
        <v>106</v>
      </c>
      <c r="C85" s="208" t="str">
        <f>IF('Final financial statement'!E43=0,"",'Final financial statement'!E43)</f>
        <v/>
      </c>
      <c r="D85" s="182">
        <f>SUMIFS('2-3-6. Travel Costs&amp;CoS&amp;EC'!U:U,'2-3-6. Travel Costs&amp;CoS&amp;EC'!C:C,B85,'2-3-6. Travel Costs&amp;CoS&amp;EC'!I:I,$D$63,'2-3-6. Travel Costs&amp;CoS&amp;EC'!Y:Y,1,'2-3-6. Travel Costs&amp;CoS&amp;EC'!X:X,"&lt;&gt;Error")</f>
        <v>0</v>
      </c>
      <c r="E85" s="182">
        <f>SUMIFS('2-3-6. Travel Costs&amp;CoS&amp;EC'!U:U,'2-3-6. Travel Costs&amp;CoS&amp;EC'!C:C,B85,'2-3-6. Travel Costs&amp;CoS&amp;EC'!I:I,$D$63,'2-3-6. Travel Costs&amp;CoS&amp;EC'!Y:Y,2,'2-3-6. Travel Costs&amp;CoS&amp;EC'!X:X,"&lt;&gt;Error")</f>
        <v>0</v>
      </c>
      <c r="F85" s="182">
        <f>SUMIFS('2-3-6. Travel Costs&amp;CoS&amp;EC'!V:V,'2-3-6. Travel Costs&amp;CoS&amp;EC'!C:C,B85,'2-3-6. Travel Costs&amp;CoS&amp;EC'!I:I,$D$63,'2-3-6. Travel Costs&amp;CoS&amp;EC'!X:X,"&lt;&gt;Error")</f>
        <v>0</v>
      </c>
      <c r="G85" s="182">
        <f>SUMIFS('2-3-6. Travel Costs&amp;CoS&amp;EC'!U:U,'2-3-6. Travel Costs&amp;CoS&amp;EC'!C:C,B85,'2-3-6. Travel Costs&amp;CoS&amp;EC'!I:I,$G$63,'2-3-6. Travel Costs&amp;CoS&amp;EC'!Y:Y,1,'2-3-6. Travel Costs&amp;CoS&amp;EC'!X:X,"&lt;&gt;Error")</f>
        <v>0</v>
      </c>
      <c r="H85" s="182">
        <f>SUMIFS('2-3-6. Travel Costs&amp;CoS&amp;EC'!U:U,'2-3-6. Travel Costs&amp;CoS&amp;EC'!C:C,B85,'2-3-6. Travel Costs&amp;CoS&amp;EC'!I:I,$G$63,'2-3-6. Travel Costs&amp;CoS&amp;EC'!Y:Y,2,'2-3-6. Travel Costs&amp;CoS&amp;EC'!X:X,"&lt;&gt;Error")</f>
        <v>0</v>
      </c>
      <c r="I85" s="182">
        <f>SUMIFS('2-3-6. Travel Costs&amp;CoS&amp;EC'!V:V,'2-3-6. Travel Costs&amp;CoS&amp;EC'!C:C,B85,'2-3-6. Travel Costs&amp;CoS&amp;EC'!I:I,$G$63,'2-3-6. Travel Costs&amp;CoS&amp;EC'!X:X,"&lt;&gt;Error")</f>
        <v>0</v>
      </c>
      <c r="J85" s="183">
        <f t="shared" si="3"/>
        <v>0</v>
      </c>
      <c r="K85" s="183">
        <f t="shared" si="4"/>
        <v>0</v>
      </c>
      <c r="L85" s="183">
        <f t="shared" si="5"/>
        <v>0</v>
      </c>
      <c r="M85" s="183">
        <f t="shared" si="6"/>
        <v>0</v>
      </c>
    </row>
    <row r="86" spans="2:13" x14ac:dyDescent="0.4">
      <c r="B86" s="208" t="s">
        <v>107</v>
      </c>
      <c r="C86" s="208" t="str">
        <f>IF('Final financial statement'!E44=0,"",'Final financial statement'!E44)</f>
        <v/>
      </c>
      <c r="D86" s="182">
        <f>SUMIFS('2-3-6. Travel Costs&amp;CoS&amp;EC'!U:U,'2-3-6. Travel Costs&amp;CoS&amp;EC'!C:C,B86,'2-3-6. Travel Costs&amp;CoS&amp;EC'!I:I,$D$63,'2-3-6. Travel Costs&amp;CoS&amp;EC'!Y:Y,1,'2-3-6. Travel Costs&amp;CoS&amp;EC'!X:X,"&lt;&gt;Error")</f>
        <v>0</v>
      </c>
      <c r="E86" s="182">
        <f>SUMIFS('2-3-6. Travel Costs&amp;CoS&amp;EC'!U:U,'2-3-6. Travel Costs&amp;CoS&amp;EC'!C:C,B86,'2-3-6. Travel Costs&amp;CoS&amp;EC'!I:I,$D$63,'2-3-6. Travel Costs&amp;CoS&amp;EC'!Y:Y,2,'2-3-6. Travel Costs&amp;CoS&amp;EC'!X:X,"&lt;&gt;Error")</f>
        <v>0</v>
      </c>
      <c r="F86" s="182">
        <f>SUMIFS('2-3-6. Travel Costs&amp;CoS&amp;EC'!V:V,'2-3-6. Travel Costs&amp;CoS&amp;EC'!C:C,B86,'2-3-6. Travel Costs&amp;CoS&amp;EC'!I:I,$D$63,'2-3-6. Travel Costs&amp;CoS&amp;EC'!X:X,"&lt;&gt;Error")</f>
        <v>0</v>
      </c>
      <c r="G86" s="182">
        <f>SUMIFS('2-3-6. Travel Costs&amp;CoS&amp;EC'!U:U,'2-3-6. Travel Costs&amp;CoS&amp;EC'!C:C,B86,'2-3-6. Travel Costs&amp;CoS&amp;EC'!I:I,$G$63,'2-3-6. Travel Costs&amp;CoS&amp;EC'!Y:Y,1,'2-3-6. Travel Costs&amp;CoS&amp;EC'!X:X,"&lt;&gt;Error")</f>
        <v>0</v>
      </c>
      <c r="H86" s="182">
        <f>SUMIFS('2-3-6. Travel Costs&amp;CoS&amp;EC'!U:U,'2-3-6. Travel Costs&amp;CoS&amp;EC'!C:C,B86,'2-3-6. Travel Costs&amp;CoS&amp;EC'!I:I,$G$63,'2-3-6. Travel Costs&amp;CoS&amp;EC'!Y:Y,2,'2-3-6. Travel Costs&amp;CoS&amp;EC'!X:X,"&lt;&gt;Error")</f>
        <v>0</v>
      </c>
      <c r="I86" s="182">
        <f>SUMIFS('2-3-6. Travel Costs&amp;CoS&amp;EC'!V:V,'2-3-6. Travel Costs&amp;CoS&amp;EC'!C:C,B86,'2-3-6. Travel Costs&amp;CoS&amp;EC'!I:I,$G$63,'2-3-6. Travel Costs&amp;CoS&amp;EC'!X:X,"&lt;&gt;Error")</f>
        <v>0</v>
      </c>
      <c r="J86" s="183">
        <f t="shared" si="3"/>
        <v>0</v>
      </c>
      <c r="K86" s="183">
        <f t="shared" si="4"/>
        <v>0</v>
      </c>
      <c r="L86" s="183">
        <f t="shared" si="5"/>
        <v>0</v>
      </c>
      <c r="M86" s="183">
        <f t="shared" si="6"/>
        <v>0</v>
      </c>
    </row>
    <row r="87" spans="2:13" x14ac:dyDescent="0.4">
      <c r="B87" s="208" t="s">
        <v>108</v>
      </c>
      <c r="C87" s="208" t="str">
        <f>IF('Final financial statement'!E45=0,"",'Final financial statement'!E45)</f>
        <v/>
      </c>
      <c r="D87" s="182">
        <f>SUMIFS('2-3-6. Travel Costs&amp;CoS&amp;EC'!U:U,'2-3-6. Travel Costs&amp;CoS&amp;EC'!C:C,B87,'2-3-6. Travel Costs&amp;CoS&amp;EC'!I:I,$D$63,'2-3-6. Travel Costs&amp;CoS&amp;EC'!Y:Y,1,'2-3-6. Travel Costs&amp;CoS&amp;EC'!X:X,"&lt;&gt;Error")</f>
        <v>0</v>
      </c>
      <c r="E87" s="182">
        <f>SUMIFS('2-3-6. Travel Costs&amp;CoS&amp;EC'!U:U,'2-3-6. Travel Costs&amp;CoS&amp;EC'!C:C,B87,'2-3-6. Travel Costs&amp;CoS&amp;EC'!I:I,$D$63,'2-3-6. Travel Costs&amp;CoS&amp;EC'!Y:Y,2,'2-3-6. Travel Costs&amp;CoS&amp;EC'!X:X,"&lt;&gt;Error")</f>
        <v>0</v>
      </c>
      <c r="F87" s="182">
        <f>SUMIFS('2-3-6. Travel Costs&amp;CoS&amp;EC'!V:V,'2-3-6. Travel Costs&amp;CoS&amp;EC'!C:C,B87,'2-3-6. Travel Costs&amp;CoS&amp;EC'!I:I,$D$63,'2-3-6. Travel Costs&amp;CoS&amp;EC'!X:X,"&lt;&gt;Error")</f>
        <v>0</v>
      </c>
      <c r="G87" s="182">
        <f>SUMIFS('2-3-6. Travel Costs&amp;CoS&amp;EC'!U:U,'2-3-6. Travel Costs&amp;CoS&amp;EC'!C:C,B87,'2-3-6. Travel Costs&amp;CoS&amp;EC'!I:I,$G$63,'2-3-6. Travel Costs&amp;CoS&amp;EC'!Y:Y,1,'2-3-6. Travel Costs&amp;CoS&amp;EC'!X:X,"&lt;&gt;Error")</f>
        <v>0</v>
      </c>
      <c r="H87" s="182">
        <f>SUMIFS('2-3-6. Travel Costs&amp;CoS&amp;EC'!U:U,'2-3-6. Travel Costs&amp;CoS&amp;EC'!C:C,B87,'2-3-6. Travel Costs&amp;CoS&amp;EC'!I:I,$G$63,'2-3-6. Travel Costs&amp;CoS&amp;EC'!Y:Y,2,'2-3-6. Travel Costs&amp;CoS&amp;EC'!X:X,"&lt;&gt;Error")</f>
        <v>0</v>
      </c>
      <c r="I87" s="182">
        <f>SUMIFS('2-3-6. Travel Costs&amp;CoS&amp;EC'!V:V,'2-3-6. Travel Costs&amp;CoS&amp;EC'!C:C,B87,'2-3-6. Travel Costs&amp;CoS&amp;EC'!I:I,$G$63,'2-3-6. Travel Costs&amp;CoS&amp;EC'!X:X,"&lt;&gt;Error")</f>
        <v>0</v>
      </c>
      <c r="J87" s="183">
        <f t="shared" si="3"/>
        <v>0</v>
      </c>
      <c r="K87" s="183">
        <f t="shared" si="4"/>
        <v>0</v>
      </c>
      <c r="L87" s="183">
        <f t="shared" si="5"/>
        <v>0</v>
      </c>
      <c r="M87" s="183">
        <f t="shared" si="6"/>
        <v>0</v>
      </c>
    </row>
    <row r="88" spans="2:13" x14ac:dyDescent="0.4">
      <c r="B88" s="208" t="s">
        <v>109</v>
      </c>
      <c r="C88" s="208" t="str">
        <f>IF('Final financial statement'!E46=0,"",'Final financial statement'!E46)</f>
        <v/>
      </c>
      <c r="D88" s="182">
        <f>SUMIFS('2-3-6. Travel Costs&amp;CoS&amp;EC'!U:U,'2-3-6. Travel Costs&amp;CoS&amp;EC'!C:C,B88,'2-3-6. Travel Costs&amp;CoS&amp;EC'!I:I,$D$63,'2-3-6. Travel Costs&amp;CoS&amp;EC'!Y:Y,1,'2-3-6. Travel Costs&amp;CoS&amp;EC'!X:X,"&lt;&gt;Error")</f>
        <v>0</v>
      </c>
      <c r="E88" s="182">
        <f>SUMIFS('2-3-6. Travel Costs&amp;CoS&amp;EC'!U:U,'2-3-6. Travel Costs&amp;CoS&amp;EC'!C:C,B88,'2-3-6. Travel Costs&amp;CoS&amp;EC'!I:I,$D$63,'2-3-6. Travel Costs&amp;CoS&amp;EC'!Y:Y,2,'2-3-6. Travel Costs&amp;CoS&amp;EC'!X:X,"&lt;&gt;Error")</f>
        <v>0</v>
      </c>
      <c r="F88" s="182">
        <f>SUMIFS('2-3-6. Travel Costs&amp;CoS&amp;EC'!V:V,'2-3-6. Travel Costs&amp;CoS&amp;EC'!C:C,B88,'2-3-6. Travel Costs&amp;CoS&amp;EC'!I:I,$D$63,'2-3-6. Travel Costs&amp;CoS&amp;EC'!X:X,"&lt;&gt;Error")</f>
        <v>0</v>
      </c>
      <c r="G88" s="182">
        <f>SUMIFS('2-3-6. Travel Costs&amp;CoS&amp;EC'!U:U,'2-3-6. Travel Costs&amp;CoS&amp;EC'!C:C,B88,'2-3-6. Travel Costs&amp;CoS&amp;EC'!I:I,$G$63,'2-3-6. Travel Costs&amp;CoS&amp;EC'!Y:Y,1,'2-3-6. Travel Costs&amp;CoS&amp;EC'!X:X,"&lt;&gt;Error")</f>
        <v>0</v>
      </c>
      <c r="H88" s="182">
        <f>SUMIFS('2-3-6. Travel Costs&amp;CoS&amp;EC'!U:U,'2-3-6. Travel Costs&amp;CoS&amp;EC'!C:C,B88,'2-3-6. Travel Costs&amp;CoS&amp;EC'!I:I,$G$63,'2-3-6. Travel Costs&amp;CoS&amp;EC'!Y:Y,2,'2-3-6. Travel Costs&amp;CoS&amp;EC'!X:X,"&lt;&gt;Error")</f>
        <v>0</v>
      </c>
      <c r="I88" s="182">
        <f>SUMIFS('2-3-6. Travel Costs&amp;CoS&amp;EC'!V:V,'2-3-6. Travel Costs&amp;CoS&amp;EC'!C:C,B88,'2-3-6. Travel Costs&amp;CoS&amp;EC'!I:I,$G$63,'2-3-6. Travel Costs&amp;CoS&amp;EC'!X:X,"&lt;&gt;Error")</f>
        <v>0</v>
      </c>
      <c r="J88" s="183">
        <f t="shared" si="3"/>
        <v>0</v>
      </c>
      <c r="K88" s="183">
        <f t="shared" si="4"/>
        <v>0</v>
      </c>
      <c r="L88" s="183">
        <f t="shared" si="5"/>
        <v>0</v>
      </c>
      <c r="M88" s="183">
        <f t="shared" si="6"/>
        <v>0</v>
      </c>
    </row>
    <row r="89" spans="2:13" x14ac:dyDescent="0.4">
      <c r="B89" s="208" t="s">
        <v>110</v>
      </c>
      <c r="C89" s="208" t="str">
        <f>IF('Final financial statement'!E47=0,"",'Final financial statement'!E47)</f>
        <v/>
      </c>
      <c r="D89" s="182">
        <f>SUMIFS('2-3-6. Travel Costs&amp;CoS&amp;EC'!U:U,'2-3-6. Travel Costs&amp;CoS&amp;EC'!C:C,B89,'2-3-6. Travel Costs&amp;CoS&amp;EC'!I:I,$D$63,'2-3-6. Travel Costs&amp;CoS&amp;EC'!Y:Y,1,'2-3-6. Travel Costs&amp;CoS&amp;EC'!X:X,"&lt;&gt;Error")</f>
        <v>0</v>
      </c>
      <c r="E89" s="182">
        <f>SUMIFS('2-3-6. Travel Costs&amp;CoS&amp;EC'!U:U,'2-3-6. Travel Costs&amp;CoS&amp;EC'!C:C,B89,'2-3-6. Travel Costs&amp;CoS&amp;EC'!I:I,$D$63,'2-3-6. Travel Costs&amp;CoS&amp;EC'!Y:Y,2,'2-3-6. Travel Costs&amp;CoS&amp;EC'!X:X,"&lt;&gt;Error")</f>
        <v>0</v>
      </c>
      <c r="F89" s="182">
        <f>SUMIFS('2-3-6. Travel Costs&amp;CoS&amp;EC'!V:V,'2-3-6. Travel Costs&amp;CoS&amp;EC'!C:C,B89,'2-3-6. Travel Costs&amp;CoS&amp;EC'!I:I,$D$63,'2-3-6. Travel Costs&amp;CoS&amp;EC'!X:X,"&lt;&gt;Error")</f>
        <v>0</v>
      </c>
      <c r="G89" s="182">
        <f>SUMIFS('2-3-6. Travel Costs&amp;CoS&amp;EC'!U:U,'2-3-6. Travel Costs&amp;CoS&amp;EC'!C:C,B89,'2-3-6. Travel Costs&amp;CoS&amp;EC'!I:I,$G$63,'2-3-6. Travel Costs&amp;CoS&amp;EC'!Y:Y,1,'2-3-6. Travel Costs&amp;CoS&amp;EC'!X:X,"&lt;&gt;Error")</f>
        <v>0</v>
      </c>
      <c r="H89" s="182">
        <f>SUMIFS('2-3-6. Travel Costs&amp;CoS&amp;EC'!U:U,'2-3-6. Travel Costs&amp;CoS&amp;EC'!C:C,B89,'2-3-6. Travel Costs&amp;CoS&amp;EC'!I:I,$G$63,'2-3-6. Travel Costs&amp;CoS&amp;EC'!Y:Y,2,'2-3-6. Travel Costs&amp;CoS&amp;EC'!X:X,"&lt;&gt;Error")</f>
        <v>0</v>
      </c>
      <c r="I89" s="182">
        <f>SUMIFS('2-3-6. Travel Costs&amp;CoS&amp;EC'!V:V,'2-3-6. Travel Costs&amp;CoS&amp;EC'!C:C,B89,'2-3-6. Travel Costs&amp;CoS&amp;EC'!I:I,$G$63,'2-3-6. Travel Costs&amp;CoS&amp;EC'!X:X,"&lt;&gt;Error")</f>
        <v>0</v>
      </c>
      <c r="J89" s="183">
        <f t="shared" si="3"/>
        <v>0</v>
      </c>
      <c r="K89" s="183">
        <f t="shared" si="4"/>
        <v>0</v>
      </c>
      <c r="L89" s="183">
        <f t="shared" si="5"/>
        <v>0</v>
      </c>
      <c r="M89" s="183">
        <f t="shared" si="6"/>
        <v>0</v>
      </c>
    </row>
    <row r="90" spans="2:13" x14ac:dyDescent="0.4">
      <c r="B90" s="208" t="s">
        <v>111</v>
      </c>
      <c r="C90" s="208" t="str">
        <f>IF('Final financial statement'!E48=0,"",'Final financial statement'!E48)</f>
        <v/>
      </c>
      <c r="D90" s="182">
        <f>SUMIFS('2-3-6. Travel Costs&amp;CoS&amp;EC'!U:U,'2-3-6. Travel Costs&amp;CoS&amp;EC'!C:C,B90,'2-3-6. Travel Costs&amp;CoS&amp;EC'!I:I,$D$63,'2-3-6. Travel Costs&amp;CoS&amp;EC'!Y:Y,1,'2-3-6. Travel Costs&amp;CoS&amp;EC'!X:X,"&lt;&gt;Error")</f>
        <v>0</v>
      </c>
      <c r="E90" s="182">
        <f>SUMIFS('2-3-6. Travel Costs&amp;CoS&amp;EC'!U:U,'2-3-6. Travel Costs&amp;CoS&amp;EC'!C:C,B90,'2-3-6. Travel Costs&amp;CoS&amp;EC'!I:I,$D$63,'2-3-6. Travel Costs&amp;CoS&amp;EC'!Y:Y,2,'2-3-6. Travel Costs&amp;CoS&amp;EC'!X:X,"&lt;&gt;Error")</f>
        <v>0</v>
      </c>
      <c r="F90" s="182">
        <f>SUMIFS('2-3-6. Travel Costs&amp;CoS&amp;EC'!V:V,'2-3-6. Travel Costs&amp;CoS&amp;EC'!C:C,B90,'2-3-6. Travel Costs&amp;CoS&amp;EC'!I:I,$D$63,'2-3-6. Travel Costs&amp;CoS&amp;EC'!X:X,"&lt;&gt;Error")</f>
        <v>0</v>
      </c>
      <c r="G90" s="182">
        <f>SUMIFS('2-3-6. Travel Costs&amp;CoS&amp;EC'!U:U,'2-3-6. Travel Costs&amp;CoS&amp;EC'!C:C,B90,'2-3-6. Travel Costs&amp;CoS&amp;EC'!I:I,$G$63,'2-3-6. Travel Costs&amp;CoS&amp;EC'!Y:Y,1,'2-3-6. Travel Costs&amp;CoS&amp;EC'!X:X,"&lt;&gt;Error")</f>
        <v>0</v>
      </c>
      <c r="H90" s="182">
        <f>SUMIFS('2-3-6. Travel Costs&amp;CoS&amp;EC'!U:U,'2-3-6. Travel Costs&amp;CoS&amp;EC'!C:C,B90,'2-3-6. Travel Costs&amp;CoS&amp;EC'!I:I,$G$63,'2-3-6. Travel Costs&amp;CoS&amp;EC'!Y:Y,2,'2-3-6. Travel Costs&amp;CoS&amp;EC'!X:X,"&lt;&gt;Error")</f>
        <v>0</v>
      </c>
      <c r="I90" s="182">
        <f>SUMIFS('2-3-6. Travel Costs&amp;CoS&amp;EC'!V:V,'2-3-6. Travel Costs&amp;CoS&amp;EC'!C:C,B90,'2-3-6. Travel Costs&amp;CoS&amp;EC'!I:I,$G$63,'2-3-6. Travel Costs&amp;CoS&amp;EC'!X:X,"&lt;&gt;Error")</f>
        <v>0</v>
      </c>
      <c r="J90" s="183">
        <f t="shared" si="3"/>
        <v>0</v>
      </c>
      <c r="K90" s="183">
        <f t="shared" si="4"/>
        <v>0</v>
      </c>
      <c r="L90" s="183">
        <f t="shared" si="5"/>
        <v>0</v>
      </c>
      <c r="M90" s="183">
        <f t="shared" si="6"/>
        <v>0</v>
      </c>
    </row>
    <row r="91" spans="2:13" x14ac:dyDescent="0.4">
      <c r="B91" s="208" t="s">
        <v>112</v>
      </c>
      <c r="C91" s="208" t="str">
        <f>IF('Final financial statement'!E49=0,"",'Final financial statement'!E49)</f>
        <v/>
      </c>
      <c r="D91" s="182">
        <f>SUMIFS('2-3-6. Travel Costs&amp;CoS&amp;EC'!U:U,'2-3-6. Travel Costs&amp;CoS&amp;EC'!C:C,B91,'2-3-6. Travel Costs&amp;CoS&amp;EC'!I:I,$D$63,'2-3-6. Travel Costs&amp;CoS&amp;EC'!Y:Y,1,'2-3-6. Travel Costs&amp;CoS&amp;EC'!X:X,"&lt;&gt;Error")</f>
        <v>0</v>
      </c>
      <c r="E91" s="182">
        <f>SUMIFS('2-3-6. Travel Costs&amp;CoS&amp;EC'!U:U,'2-3-6. Travel Costs&amp;CoS&amp;EC'!C:C,B91,'2-3-6. Travel Costs&amp;CoS&amp;EC'!I:I,$D$63,'2-3-6. Travel Costs&amp;CoS&amp;EC'!Y:Y,2,'2-3-6. Travel Costs&amp;CoS&amp;EC'!X:X,"&lt;&gt;Error")</f>
        <v>0</v>
      </c>
      <c r="F91" s="182">
        <f>SUMIFS('2-3-6. Travel Costs&amp;CoS&amp;EC'!V:V,'2-3-6. Travel Costs&amp;CoS&amp;EC'!C:C,B91,'2-3-6. Travel Costs&amp;CoS&amp;EC'!I:I,$D$63,'2-3-6. Travel Costs&amp;CoS&amp;EC'!X:X,"&lt;&gt;Error")</f>
        <v>0</v>
      </c>
      <c r="G91" s="182">
        <f>SUMIFS('2-3-6. Travel Costs&amp;CoS&amp;EC'!U:U,'2-3-6. Travel Costs&amp;CoS&amp;EC'!C:C,B91,'2-3-6. Travel Costs&amp;CoS&amp;EC'!I:I,$G$63,'2-3-6. Travel Costs&amp;CoS&amp;EC'!Y:Y,1,'2-3-6. Travel Costs&amp;CoS&amp;EC'!X:X,"&lt;&gt;Error")</f>
        <v>0</v>
      </c>
      <c r="H91" s="182">
        <f>SUMIFS('2-3-6. Travel Costs&amp;CoS&amp;EC'!U:U,'2-3-6. Travel Costs&amp;CoS&amp;EC'!C:C,B91,'2-3-6. Travel Costs&amp;CoS&amp;EC'!I:I,$G$63,'2-3-6. Travel Costs&amp;CoS&amp;EC'!Y:Y,2,'2-3-6. Travel Costs&amp;CoS&amp;EC'!X:X,"&lt;&gt;Error")</f>
        <v>0</v>
      </c>
      <c r="I91" s="182">
        <f>SUMIFS('2-3-6. Travel Costs&amp;CoS&amp;EC'!V:V,'2-3-6. Travel Costs&amp;CoS&amp;EC'!C:C,B91,'2-3-6. Travel Costs&amp;CoS&amp;EC'!I:I,$G$63,'2-3-6. Travel Costs&amp;CoS&amp;EC'!X:X,"&lt;&gt;Error")</f>
        <v>0</v>
      </c>
      <c r="J91" s="183">
        <f t="shared" si="3"/>
        <v>0</v>
      </c>
      <c r="K91" s="183">
        <f t="shared" si="4"/>
        <v>0</v>
      </c>
      <c r="L91" s="183">
        <f t="shared" si="5"/>
        <v>0</v>
      </c>
      <c r="M91" s="183">
        <f t="shared" si="6"/>
        <v>0</v>
      </c>
    </row>
    <row r="92" spans="2:13" x14ac:dyDescent="0.4">
      <c r="B92" s="208" t="s">
        <v>113</v>
      </c>
      <c r="C92" s="208" t="str">
        <f>IF('Final financial statement'!E50=0,"",'Final financial statement'!E50)</f>
        <v/>
      </c>
      <c r="D92" s="182">
        <f>SUMIFS('2-3-6. Travel Costs&amp;CoS&amp;EC'!U:U,'2-3-6. Travel Costs&amp;CoS&amp;EC'!C:C,B92,'2-3-6. Travel Costs&amp;CoS&amp;EC'!I:I,$D$63,'2-3-6. Travel Costs&amp;CoS&amp;EC'!Y:Y,1,'2-3-6. Travel Costs&amp;CoS&amp;EC'!X:X,"&lt;&gt;Error")</f>
        <v>0</v>
      </c>
      <c r="E92" s="182">
        <f>SUMIFS('2-3-6. Travel Costs&amp;CoS&amp;EC'!U:U,'2-3-6. Travel Costs&amp;CoS&amp;EC'!C:C,B92,'2-3-6. Travel Costs&amp;CoS&amp;EC'!I:I,$D$63,'2-3-6. Travel Costs&amp;CoS&amp;EC'!Y:Y,2,'2-3-6. Travel Costs&amp;CoS&amp;EC'!X:X,"&lt;&gt;Error")</f>
        <v>0</v>
      </c>
      <c r="F92" s="182">
        <f>SUMIFS('2-3-6. Travel Costs&amp;CoS&amp;EC'!V:V,'2-3-6. Travel Costs&amp;CoS&amp;EC'!C:C,B92,'2-3-6. Travel Costs&amp;CoS&amp;EC'!I:I,$D$63,'2-3-6. Travel Costs&amp;CoS&amp;EC'!X:X,"&lt;&gt;Error")</f>
        <v>0</v>
      </c>
      <c r="G92" s="182">
        <f>SUMIFS('2-3-6. Travel Costs&amp;CoS&amp;EC'!U:U,'2-3-6. Travel Costs&amp;CoS&amp;EC'!C:C,B92,'2-3-6. Travel Costs&amp;CoS&amp;EC'!I:I,$G$63,'2-3-6. Travel Costs&amp;CoS&amp;EC'!Y:Y,1,'2-3-6. Travel Costs&amp;CoS&amp;EC'!X:X,"&lt;&gt;Error")</f>
        <v>0</v>
      </c>
      <c r="H92" s="182">
        <f>SUMIFS('2-3-6. Travel Costs&amp;CoS&amp;EC'!U:U,'2-3-6. Travel Costs&amp;CoS&amp;EC'!C:C,B92,'2-3-6. Travel Costs&amp;CoS&amp;EC'!I:I,$G$63,'2-3-6. Travel Costs&amp;CoS&amp;EC'!Y:Y,2,'2-3-6. Travel Costs&amp;CoS&amp;EC'!X:X,"&lt;&gt;Error")</f>
        <v>0</v>
      </c>
      <c r="I92" s="182">
        <f>SUMIFS('2-3-6. Travel Costs&amp;CoS&amp;EC'!V:V,'2-3-6. Travel Costs&amp;CoS&amp;EC'!C:C,B92,'2-3-6. Travel Costs&amp;CoS&amp;EC'!I:I,$G$63,'2-3-6. Travel Costs&amp;CoS&amp;EC'!X:X,"&lt;&gt;Error")</f>
        <v>0</v>
      </c>
      <c r="J92" s="183">
        <f t="shared" si="3"/>
        <v>0</v>
      </c>
      <c r="K92" s="183">
        <f t="shared" si="4"/>
        <v>0</v>
      </c>
      <c r="L92" s="183">
        <f t="shared" si="5"/>
        <v>0</v>
      </c>
      <c r="M92" s="183">
        <f t="shared" si="6"/>
        <v>0</v>
      </c>
    </row>
    <row r="93" spans="2:13" x14ac:dyDescent="0.4">
      <c r="B93" s="208" t="s">
        <v>114</v>
      </c>
      <c r="C93" s="208" t="str">
        <f>IF('Final financial statement'!E51=0,"",'Final financial statement'!E51)</f>
        <v/>
      </c>
      <c r="D93" s="182">
        <f>SUMIFS('2-3-6. Travel Costs&amp;CoS&amp;EC'!U:U,'2-3-6. Travel Costs&amp;CoS&amp;EC'!C:C,B93,'2-3-6. Travel Costs&amp;CoS&amp;EC'!I:I,$D$63,'2-3-6. Travel Costs&amp;CoS&amp;EC'!Y:Y,1,'2-3-6. Travel Costs&amp;CoS&amp;EC'!X:X,"&lt;&gt;Error")</f>
        <v>0</v>
      </c>
      <c r="E93" s="182">
        <f>SUMIFS('2-3-6. Travel Costs&amp;CoS&amp;EC'!U:U,'2-3-6. Travel Costs&amp;CoS&amp;EC'!C:C,B93,'2-3-6. Travel Costs&amp;CoS&amp;EC'!I:I,$D$63,'2-3-6. Travel Costs&amp;CoS&amp;EC'!Y:Y,2,'2-3-6. Travel Costs&amp;CoS&amp;EC'!X:X,"&lt;&gt;Error")</f>
        <v>0</v>
      </c>
      <c r="F93" s="182">
        <f>SUMIFS('2-3-6. Travel Costs&amp;CoS&amp;EC'!V:V,'2-3-6. Travel Costs&amp;CoS&amp;EC'!C:C,B93,'2-3-6. Travel Costs&amp;CoS&amp;EC'!I:I,$D$63,'2-3-6. Travel Costs&amp;CoS&amp;EC'!X:X,"&lt;&gt;Error")</f>
        <v>0</v>
      </c>
      <c r="G93" s="182">
        <f>SUMIFS('2-3-6. Travel Costs&amp;CoS&amp;EC'!U:U,'2-3-6. Travel Costs&amp;CoS&amp;EC'!C:C,B93,'2-3-6. Travel Costs&amp;CoS&amp;EC'!I:I,$G$63,'2-3-6. Travel Costs&amp;CoS&amp;EC'!Y:Y,1,'2-3-6. Travel Costs&amp;CoS&amp;EC'!X:X,"&lt;&gt;Error")</f>
        <v>0</v>
      </c>
      <c r="H93" s="182">
        <f>SUMIFS('2-3-6. Travel Costs&amp;CoS&amp;EC'!U:U,'2-3-6. Travel Costs&amp;CoS&amp;EC'!C:C,B93,'2-3-6. Travel Costs&amp;CoS&amp;EC'!I:I,$G$63,'2-3-6. Travel Costs&amp;CoS&amp;EC'!Y:Y,2,'2-3-6. Travel Costs&amp;CoS&amp;EC'!X:X,"&lt;&gt;Error")</f>
        <v>0</v>
      </c>
      <c r="I93" s="182">
        <f>SUMIFS('2-3-6. Travel Costs&amp;CoS&amp;EC'!V:V,'2-3-6. Travel Costs&amp;CoS&amp;EC'!C:C,B93,'2-3-6. Travel Costs&amp;CoS&amp;EC'!I:I,$G$63,'2-3-6. Travel Costs&amp;CoS&amp;EC'!X:X,"&lt;&gt;Error")</f>
        <v>0</v>
      </c>
      <c r="J93" s="183">
        <f t="shared" si="3"/>
        <v>0</v>
      </c>
      <c r="K93" s="183">
        <f t="shared" si="4"/>
        <v>0</v>
      </c>
      <c r="L93" s="183">
        <f t="shared" si="5"/>
        <v>0</v>
      </c>
      <c r="M93" s="183">
        <f t="shared" si="6"/>
        <v>0</v>
      </c>
    </row>
    <row r="94" spans="2:13" x14ac:dyDescent="0.4">
      <c r="B94" s="208" t="s">
        <v>115</v>
      </c>
      <c r="C94" s="208" t="str">
        <f>IF('Final financial statement'!E52=0,"",'Final financial statement'!E52)</f>
        <v/>
      </c>
      <c r="D94" s="182">
        <f>SUMIFS('2-3-6. Travel Costs&amp;CoS&amp;EC'!U:U,'2-3-6. Travel Costs&amp;CoS&amp;EC'!C:C,B94,'2-3-6. Travel Costs&amp;CoS&amp;EC'!I:I,$D$63,'2-3-6. Travel Costs&amp;CoS&amp;EC'!Y:Y,1,'2-3-6. Travel Costs&amp;CoS&amp;EC'!X:X,"&lt;&gt;Error")</f>
        <v>0</v>
      </c>
      <c r="E94" s="182">
        <f>SUMIFS('2-3-6. Travel Costs&amp;CoS&amp;EC'!U:U,'2-3-6. Travel Costs&amp;CoS&amp;EC'!C:C,B94,'2-3-6. Travel Costs&amp;CoS&amp;EC'!I:I,$D$63,'2-3-6. Travel Costs&amp;CoS&amp;EC'!Y:Y,2,'2-3-6. Travel Costs&amp;CoS&amp;EC'!X:X,"&lt;&gt;Error")</f>
        <v>0</v>
      </c>
      <c r="F94" s="182">
        <f>SUMIFS('2-3-6. Travel Costs&amp;CoS&amp;EC'!V:V,'2-3-6. Travel Costs&amp;CoS&amp;EC'!C:C,B94,'2-3-6. Travel Costs&amp;CoS&amp;EC'!I:I,$D$63,'2-3-6. Travel Costs&amp;CoS&amp;EC'!X:X,"&lt;&gt;Error")</f>
        <v>0</v>
      </c>
      <c r="G94" s="182">
        <f>SUMIFS('2-3-6. Travel Costs&amp;CoS&amp;EC'!U:U,'2-3-6. Travel Costs&amp;CoS&amp;EC'!C:C,B94,'2-3-6. Travel Costs&amp;CoS&amp;EC'!I:I,$G$63,'2-3-6. Travel Costs&amp;CoS&amp;EC'!Y:Y,1,'2-3-6. Travel Costs&amp;CoS&amp;EC'!X:X,"&lt;&gt;Error")</f>
        <v>0</v>
      </c>
      <c r="H94" s="182">
        <f>SUMIFS('2-3-6. Travel Costs&amp;CoS&amp;EC'!U:U,'2-3-6. Travel Costs&amp;CoS&amp;EC'!C:C,B94,'2-3-6. Travel Costs&amp;CoS&amp;EC'!I:I,$G$63,'2-3-6. Travel Costs&amp;CoS&amp;EC'!Y:Y,2,'2-3-6. Travel Costs&amp;CoS&amp;EC'!X:X,"&lt;&gt;Error")</f>
        <v>0</v>
      </c>
      <c r="I94" s="182">
        <f>SUMIFS('2-3-6. Travel Costs&amp;CoS&amp;EC'!V:V,'2-3-6. Travel Costs&amp;CoS&amp;EC'!C:C,B94,'2-3-6. Travel Costs&amp;CoS&amp;EC'!I:I,$G$63,'2-3-6. Travel Costs&amp;CoS&amp;EC'!X:X,"&lt;&gt;Error")</f>
        <v>0</v>
      </c>
      <c r="J94" s="183">
        <f t="shared" si="3"/>
        <v>0</v>
      </c>
      <c r="K94" s="183">
        <f t="shared" si="4"/>
        <v>0</v>
      </c>
      <c r="L94" s="183">
        <f t="shared" si="5"/>
        <v>0</v>
      </c>
      <c r="M94" s="183">
        <f t="shared" si="6"/>
        <v>0</v>
      </c>
    </row>
    <row r="95" spans="2:13" x14ac:dyDescent="0.4">
      <c r="B95" s="208" t="s">
        <v>116</v>
      </c>
      <c r="C95" s="208" t="str">
        <f>IF('Final financial statement'!E53=0,"",'Final financial statement'!E53)</f>
        <v/>
      </c>
      <c r="D95" s="182">
        <f>SUMIFS('2-3-6. Travel Costs&amp;CoS&amp;EC'!U:U,'2-3-6. Travel Costs&amp;CoS&amp;EC'!C:C,B95,'2-3-6. Travel Costs&amp;CoS&amp;EC'!I:I,$D$63,'2-3-6. Travel Costs&amp;CoS&amp;EC'!Y:Y,1,'2-3-6. Travel Costs&amp;CoS&amp;EC'!X:X,"&lt;&gt;Error")</f>
        <v>0</v>
      </c>
      <c r="E95" s="182">
        <f>SUMIFS('2-3-6. Travel Costs&amp;CoS&amp;EC'!U:U,'2-3-6. Travel Costs&amp;CoS&amp;EC'!C:C,B95,'2-3-6. Travel Costs&amp;CoS&amp;EC'!I:I,$D$63,'2-3-6. Travel Costs&amp;CoS&amp;EC'!Y:Y,2,'2-3-6. Travel Costs&amp;CoS&amp;EC'!X:X,"&lt;&gt;Error")</f>
        <v>0</v>
      </c>
      <c r="F95" s="182">
        <f>SUMIFS('2-3-6. Travel Costs&amp;CoS&amp;EC'!V:V,'2-3-6. Travel Costs&amp;CoS&amp;EC'!C:C,B95,'2-3-6. Travel Costs&amp;CoS&amp;EC'!I:I,$D$63,'2-3-6. Travel Costs&amp;CoS&amp;EC'!X:X,"&lt;&gt;Error")</f>
        <v>0</v>
      </c>
      <c r="G95" s="182">
        <f>SUMIFS('2-3-6. Travel Costs&amp;CoS&amp;EC'!U:U,'2-3-6. Travel Costs&amp;CoS&amp;EC'!C:C,B95,'2-3-6. Travel Costs&amp;CoS&amp;EC'!I:I,$G$63,'2-3-6. Travel Costs&amp;CoS&amp;EC'!Y:Y,1,'2-3-6. Travel Costs&amp;CoS&amp;EC'!X:X,"&lt;&gt;Error")</f>
        <v>0</v>
      </c>
      <c r="H95" s="182">
        <f>SUMIFS('2-3-6. Travel Costs&amp;CoS&amp;EC'!U:U,'2-3-6. Travel Costs&amp;CoS&amp;EC'!C:C,B95,'2-3-6. Travel Costs&amp;CoS&amp;EC'!I:I,$G$63,'2-3-6. Travel Costs&amp;CoS&amp;EC'!Y:Y,2,'2-3-6. Travel Costs&amp;CoS&amp;EC'!X:X,"&lt;&gt;Error")</f>
        <v>0</v>
      </c>
      <c r="I95" s="182">
        <f>SUMIFS('2-3-6. Travel Costs&amp;CoS&amp;EC'!V:V,'2-3-6. Travel Costs&amp;CoS&amp;EC'!C:C,B95,'2-3-6. Travel Costs&amp;CoS&amp;EC'!I:I,$G$63,'2-3-6. Travel Costs&amp;CoS&amp;EC'!X:X,"&lt;&gt;Error")</f>
        <v>0</v>
      </c>
      <c r="J95" s="183">
        <f t="shared" si="3"/>
        <v>0</v>
      </c>
      <c r="K95" s="183">
        <f t="shared" si="4"/>
        <v>0</v>
      </c>
      <c r="L95" s="183">
        <f t="shared" si="5"/>
        <v>0</v>
      </c>
      <c r="M95" s="183">
        <f t="shared" si="6"/>
        <v>0</v>
      </c>
    </row>
    <row r="96" spans="2:13" x14ac:dyDescent="0.4">
      <c r="B96" s="208" t="s">
        <v>117</v>
      </c>
      <c r="C96" s="208" t="str">
        <f>IF('Final financial statement'!E54=0,"",'Final financial statement'!E54)</f>
        <v/>
      </c>
      <c r="D96" s="182">
        <f>SUMIFS('2-3-6. Travel Costs&amp;CoS&amp;EC'!U:U,'2-3-6. Travel Costs&amp;CoS&amp;EC'!C:C,B96,'2-3-6. Travel Costs&amp;CoS&amp;EC'!I:I,$D$63,'2-3-6. Travel Costs&amp;CoS&amp;EC'!Y:Y,1,'2-3-6. Travel Costs&amp;CoS&amp;EC'!X:X,"&lt;&gt;Error")</f>
        <v>0</v>
      </c>
      <c r="E96" s="182">
        <f>SUMIFS('2-3-6. Travel Costs&amp;CoS&amp;EC'!U:U,'2-3-6. Travel Costs&amp;CoS&amp;EC'!C:C,B96,'2-3-6. Travel Costs&amp;CoS&amp;EC'!I:I,$D$63,'2-3-6. Travel Costs&amp;CoS&amp;EC'!Y:Y,2,'2-3-6. Travel Costs&amp;CoS&amp;EC'!X:X,"&lt;&gt;Error")</f>
        <v>0</v>
      </c>
      <c r="F96" s="182">
        <f>SUMIFS('2-3-6. Travel Costs&amp;CoS&amp;EC'!V:V,'2-3-6. Travel Costs&amp;CoS&amp;EC'!C:C,B96,'2-3-6. Travel Costs&amp;CoS&amp;EC'!I:I,$D$63,'2-3-6. Travel Costs&amp;CoS&amp;EC'!X:X,"&lt;&gt;Error")</f>
        <v>0</v>
      </c>
      <c r="G96" s="182">
        <f>SUMIFS('2-3-6. Travel Costs&amp;CoS&amp;EC'!U:U,'2-3-6. Travel Costs&amp;CoS&amp;EC'!C:C,B96,'2-3-6. Travel Costs&amp;CoS&amp;EC'!I:I,$G$63,'2-3-6. Travel Costs&amp;CoS&amp;EC'!Y:Y,1,'2-3-6. Travel Costs&amp;CoS&amp;EC'!X:X,"&lt;&gt;Error")</f>
        <v>0</v>
      </c>
      <c r="H96" s="182">
        <f>SUMIFS('2-3-6. Travel Costs&amp;CoS&amp;EC'!U:U,'2-3-6. Travel Costs&amp;CoS&amp;EC'!C:C,B96,'2-3-6. Travel Costs&amp;CoS&amp;EC'!I:I,$G$63,'2-3-6. Travel Costs&amp;CoS&amp;EC'!Y:Y,2,'2-3-6. Travel Costs&amp;CoS&amp;EC'!X:X,"&lt;&gt;Error")</f>
        <v>0</v>
      </c>
      <c r="I96" s="182">
        <f>SUMIFS('2-3-6. Travel Costs&amp;CoS&amp;EC'!V:V,'2-3-6. Travel Costs&amp;CoS&amp;EC'!C:C,B96,'2-3-6. Travel Costs&amp;CoS&amp;EC'!I:I,$G$63,'2-3-6. Travel Costs&amp;CoS&amp;EC'!X:X,"&lt;&gt;Error")</f>
        <v>0</v>
      </c>
      <c r="J96" s="183">
        <f t="shared" si="3"/>
        <v>0</v>
      </c>
      <c r="K96" s="183">
        <f t="shared" si="4"/>
        <v>0</v>
      </c>
      <c r="L96" s="183">
        <f t="shared" si="5"/>
        <v>0</v>
      </c>
      <c r="M96" s="183">
        <f t="shared" si="6"/>
        <v>0</v>
      </c>
    </row>
    <row r="97" spans="2:13" x14ac:dyDescent="0.4">
      <c r="B97" s="208" t="s">
        <v>118</v>
      </c>
      <c r="C97" s="208" t="str">
        <f>IF('Final financial statement'!E55=0,"",'Final financial statement'!E55)</f>
        <v/>
      </c>
      <c r="D97" s="182">
        <f>SUMIFS('2-3-6. Travel Costs&amp;CoS&amp;EC'!U:U,'2-3-6. Travel Costs&amp;CoS&amp;EC'!C:C,B97,'2-3-6. Travel Costs&amp;CoS&amp;EC'!I:I,$D$63,'2-3-6. Travel Costs&amp;CoS&amp;EC'!Y:Y,1,'2-3-6. Travel Costs&amp;CoS&amp;EC'!X:X,"&lt;&gt;Error")</f>
        <v>0</v>
      </c>
      <c r="E97" s="182">
        <f>SUMIFS('2-3-6. Travel Costs&amp;CoS&amp;EC'!U:U,'2-3-6. Travel Costs&amp;CoS&amp;EC'!C:C,B97,'2-3-6. Travel Costs&amp;CoS&amp;EC'!I:I,$D$63,'2-3-6. Travel Costs&amp;CoS&amp;EC'!Y:Y,2,'2-3-6. Travel Costs&amp;CoS&amp;EC'!X:X,"&lt;&gt;Error")</f>
        <v>0</v>
      </c>
      <c r="F97" s="182">
        <f>SUMIFS('2-3-6. Travel Costs&amp;CoS&amp;EC'!V:V,'2-3-6. Travel Costs&amp;CoS&amp;EC'!C:C,B97,'2-3-6. Travel Costs&amp;CoS&amp;EC'!I:I,$D$63,'2-3-6. Travel Costs&amp;CoS&amp;EC'!X:X,"&lt;&gt;Error")</f>
        <v>0</v>
      </c>
      <c r="G97" s="182">
        <f>SUMIFS('2-3-6. Travel Costs&amp;CoS&amp;EC'!U:U,'2-3-6. Travel Costs&amp;CoS&amp;EC'!C:C,B97,'2-3-6. Travel Costs&amp;CoS&amp;EC'!I:I,$G$63,'2-3-6. Travel Costs&amp;CoS&amp;EC'!Y:Y,1,'2-3-6. Travel Costs&amp;CoS&amp;EC'!X:X,"&lt;&gt;Error")</f>
        <v>0</v>
      </c>
      <c r="H97" s="182">
        <f>SUMIFS('2-3-6. Travel Costs&amp;CoS&amp;EC'!U:U,'2-3-6. Travel Costs&amp;CoS&amp;EC'!C:C,B97,'2-3-6. Travel Costs&amp;CoS&amp;EC'!I:I,$G$63,'2-3-6. Travel Costs&amp;CoS&amp;EC'!Y:Y,2,'2-3-6. Travel Costs&amp;CoS&amp;EC'!X:X,"&lt;&gt;Error")</f>
        <v>0</v>
      </c>
      <c r="I97" s="182">
        <f>SUMIFS('2-3-6. Travel Costs&amp;CoS&amp;EC'!V:V,'2-3-6. Travel Costs&amp;CoS&amp;EC'!C:C,B97,'2-3-6. Travel Costs&amp;CoS&amp;EC'!I:I,$G$63,'2-3-6. Travel Costs&amp;CoS&amp;EC'!X:X,"&lt;&gt;Error")</f>
        <v>0</v>
      </c>
      <c r="J97" s="183">
        <f t="shared" si="3"/>
        <v>0</v>
      </c>
      <c r="K97" s="183">
        <f t="shared" si="4"/>
        <v>0</v>
      </c>
      <c r="L97" s="183">
        <f t="shared" si="5"/>
        <v>0</v>
      </c>
      <c r="M97" s="183">
        <f t="shared" si="6"/>
        <v>0</v>
      </c>
    </row>
    <row r="98" spans="2:13" x14ac:dyDescent="0.4">
      <c r="B98" s="208" t="s">
        <v>119</v>
      </c>
      <c r="C98" s="208" t="str">
        <f>IF('Final financial statement'!E56=0,"",'Final financial statement'!E56)</f>
        <v/>
      </c>
      <c r="D98" s="182">
        <f>SUMIFS('2-3-6. Travel Costs&amp;CoS&amp;EC'!U:U,'2-3-6. Travel Costs&amp;CoS&amp;EC'!C:C,B98,'2-3-6. Travel Costs&amp;CoS&amp;EC'!I:I,$D$63,'2-3-6. Travel Costs&amp;CoS&amp;EC'!Y:Y,1,'2-3-6. Travel Costs&amp;CoS&amp;EC'!X:X,"&lt;&gt;Error")</f>
        <v>0</v>
      </c>
      <c r="E98" s="182">
        <f>SUMIFS('2-3-6. Travel Costs&amp;CoS&amp;EC'!U:U,'2-3-6. Travel Costs&amp;CoS&amp;EC'!C:C,B98,'2-3-6. Travel Costs&amp;CoS&amp;EC'!I:I,$D$63,'2-3-6. Travel Costs&amp;CoS&amp;EC'!Y:Y,2,'2-3-6. Travel Costs&amp;CoS&amp;EC'!X:X,"&lt;&gt;Error")</f>
        <v>0</v>
      </c>
      <c r="F98" s="182">
        <f>SUMIFS('2-3-6. Travel Costs&amp;CoS&amp;EC'!V:V,'2-3-6. Travel Costs&amp;CoS&amp;EC'!C:C,B98,'2-3-6. Travel Costs&amp;CoS&amp;EC'!I:I,$D$63,'2-3-6. Travel Costs&amp;CoS&amp;EC'!X:X,"&lt;&gt;Error")</f>
        <v>0</v>
      </c>
      <c r="G98" s="182">
        <f>SUMIFS('2-3-6. Travel Costs&amp;CoS&amp;EC'!U:U,'2-3-6. Travel Costs&amp;CoS&amp;EC'!C:C,B98,'2-3-6. Travel Costs&amp;CoS&amp;EC'!I:I,$G$63,'2-3-6. Travel Costs&amp;CoS&amp;EC'!Y:Y,1,'2-3-6. Travel Costs&amp;CoS&amp;EC'!X:X,"&lt;&gt;Error")</f>
        <v>0</v>
      </c>
      <c r="H98" s="182">
        <f>SUMIFS('2-3-6. Travel Costs&amp;CoS&amp;EC'!U:U,'2-3-6. Travel Costs&amp;CoS&amp;EC'!C:C,B98,'2-3-6. Travel Costs&amp;CoS&amp;EC'!I:I,$G$63,'2-3-6. Travel Costs&amp;CoS&amp;EC'!Y:Y,2,'2-3-6. Travel Costs&amp;CoS&amp;EC'!X:X,"&lt;&gt;Error")</f>
        <v>0</v>
      </c>
      <c r="I98" s="182">
        <f>SUMIFS('2-3-6. Travel Costs&amp;CoS&amp;EC'!V:V,'2-3-6. Travel Costs&amp;CoS&amp;EC'!C:C,B98,'2-3-6. Travel Costs&amp;CoS&amp;EC'!I:I,$G$63,'2-3-6. Travel Costs&amp;CoS&amp;EC'!X:X,"&lt;&gt;Error")</f>
        <v>0</v>
      </c>
      <c r="J98" s="183">
        <f t="shared" si="3"/>
        <v>0</v>
      </c>
      <c r="K98" s="183">
        <f t="shared" si="4"/>
        <v>0</v>
      </c>
      <c r="L98" s="183">
        <f t="shared" si="5"/>
        <v>0</v>
      </c>
      <c r="M98" s="183">
        <f t="shared" si="6"/>
        <v>0</v>
      </c>
    </row>
    <row r="99" spans="2:13" x14ac:dyDescent="0.4">
      <c r="B99" s="208" t="s">
        <v>120</v>
      </c>
      <c r="C99" s="208" t="str">
        <f>IF('Final financial statement'!E57=0,"",'Final financial statement'!E57)</f>
        <v/>
      </c>
      <c r="D99" s="182">
        <f>SUMIFS('2-3-6. Travel Costs&amp;CoS&amp;EC'!U:U,'2-3-6. Travel Costs&amp;CoS&amp;EC'!C:C,B99,'2-3-6. Travel Costs&amp;CoS&amp;EC'!I:I,$D$63,'2-3-6. Travel Costs&amp;CoS&amp;EC'!Y:Y,1,'2-3-6. Travel Costs&amp;CoS&amp;EC'!X:X,"&lt;&gt;Error")</f>
        <v>0</v>
      </c>
      <c r="E99" s="182">
        <f>SUMIFS('2-3-6. Travel Costs&amp;CoS&amp;EC'!U:U,'2-3-6. Travel Costs&amp;CoS&amp;EC'!C:C,B99,'2-3-6. Travel Costs&amp;CoS&amp;EC'!I:I,$D$63,'2-3-6. Travel Costs&amp;CoS&amp;EC'!Y:Y,2,'2-3-6. Travel Costs&amp;CoS&amp;EC'!X:X,"&lt;&gt;Error")</f>
        <v>0</v>
      </c>
      <c r="F99" s="182">
        <f>SUMIFS('2-3-6. Travel Costs&amp;CoS&amp;EC'!V:V,'2-3-6. Travel Costs&amp;CoS&amp;EC'!C:C,B99,'2-3-6. Travel Costs&amp;CoS&amp;EC'!I:I,$D$63,'2-3-6. Travel Costs&amp;CoS&amp;EC'!X:X,"&lt;&gt;Error")</f>
        <v>0</v>
      </c>
      <c r="G99" s="182">
        <f>SUMIFS('2-3-6. Travel Costs&amp;CoS&amp;EC'!U:U,'2-3-6. Travel Costs&amp;CoS&amp;EC'!C:C,B99,'2-3-6. Travel Costs&amp;CoS&amp;EC'!I:I,$G$63,'2-3-6. Travel Costs&amp;CoS&amp;EC'!Y:Y,1,'2-3-6. Travel Costs&amp;CoS&amp;EC'!X:X,"&lt;&gt;Error")</f>
        <v>0</v>
      </c>
      <c r="H99" s="182">
        <f>SUMIFS('2-3-6. Travel Costs&amp;CoS&amp;EC'!U:U,'2-3-6. Travel Costs&amp;CoS&amp;EC'!C:C,B99,'2-3-6. Travel Costs&amp;CoS&amp;EC'!I:I,$G$63,'2-3-6. Travel Costs&amp;CoS&amp;EC'!Y:Y,2,'2-3-6. Travel Costs&amp;CoS&amp;EC'!X:X,"&lt;&gt;Error")</f>
        <v>0</v>
      </c>
      <c r="I99" s="182">
        <f>SUMIFS('2-3-6. Travel Costs&amp;CoS&amp;EC'!V:V,'2-3-6. Travel Costs&amp;CoS&amp;EC'!C:C,B99,'2-3-6. Travel Costs&amp;CoS&amp;EC'!I:I,$G$63,'2-3-6. Travel Costs&amp;CoS&amp;EC'!X:X,"&lt;&gt;Error")</f>
        <v>0</v>
      </c>
      <c r="J99" s="183">
        <f t="shared" si="3"/>
        <v>0</v>
      </c>
      <c r="K99" s="183">
        <f t="shared" si="4"/>
        <v>0</v>
      </c>
      <c r="L99" s="183">
        <f t="shared" si="5"/>
        <v>0</v>
      </c>
      <c r="M99" s="183">
        <f t="shared" si="6"/>
        <v>0</v>
      </c>
    </row>
    <row r="100" spans="2:13" x14ac:dyDescent="0.4">
      <c r="B100" s="208" t="s">
        <v>121</v>
      </c>
      <c r="C100" s="208" t="str">
        <f>IF('Final financial statement'!E58=0,"",'Final financial statement'!E58)</f>
        <v/>
      </c>
      <c r="D100" s="182">
        <f>SUMIFS('2-3-6. Travel Costs&amp;CoS&amp;EC'!U:U,'2-3-6. Travel Costs&amp;CoS&amp;EC'!C:C,B100,'2-3-6. Travel Costs&amp;CoS&amp;EC'!I:I,$D$63,'2-3-6. Travel Costs&amp;CoS&amp;EC'!Y:Y,1,'2-3-6. Travel Costs&amp;CoS&amp;EC'!X:X,"&lt;&gt;Error")</f>
        <v>0</v>
      </c>
      <c r="E100" s="182">
        <f>SUMIFS('2-3-6. Travel Costs&amp;CoS&amp;EC'!U:U,'2-3-6. Travel Costs&amp;CoS&amp;EC'!C:C,B100,'2-3-6. Travel Costs&amp;CoS&amp;EC'!I:I,$D$63,'2-3-6. Travel Costs&amp;CoS&amp;EC'!Y:Y,2,'2-3-6. Travel Costs&amp;CoS&amp;EC'!X:X,"&lt;&gt;Error")</f>
        <v>0</v>
      </c>
      <c r="F100" s="182">
        <f>SUMIFS('2-3-6. Travel Costs&amp;CoS&amp;EC'!V:V,'2-3-6. Travel Costs&amp;CoS&amp;EC'!C:C,B100,'2-3-6. Travel Costs&amp;CoS&amp;EC'!I:I,$D$63,'2-3-6. Travel Costs&amp;CoS&amp;EC'!X:X,"&lt;&gt;Error")</f>
        <v>0</v>
      </c>
      <c r="G100" s="182">
        <f>SUMIFS('2-3-6. Travel Costs&amp;CoS&amp;EC'!U:U,'2-3-6. Travel Costs&amp;CoS&amp;EC'!C:C,B100,'2-3-6. Travel Costs&amp;CoS&amp;EC'!I:I,$G$63,'2-3-6. Travel Costs&amp;CoS&amp;EC'!Y:Y,1,'2-3-6. Travel Costs&amp;CoS&amp;EC'!X:X,"&lt;&gt;Error")</f>
        <v>0</v>
      </c>
      <c r="H100" s="182">
        <f>SUMIFS('2-3-6. Travel Costs&amp;CoS&amp;EC'!U:U,'2-3-6. Travel Costs&amp;CoS&amp;EC'!C:C,B100,'2-3-6. Travel Costs&amp;CoS&amp;EC'!I:I,$G$63,'2-3-6. Travel Costs&amp;CoS&amp;EC'!Y:Y,2,'2-3-6. Travel Costs&amp;CoS&amp;EC'!X:X,"&lt;&gt;Error")</f>
        <v>0</v>
      </c>
      <c r="I100" s="182">
        <f>SUMIFS('2-3-6. Travel Costs&amp;CoS&amp;EC'!V:V,'2-3-6. Travel Costs&amp;CoS&amp;EC'!C:C,B100,'2-3-6. Travel Costs&amp;CoS&amp;EC'!I:I,$G$63,'2-3-6. Travel Costs&amp;CoS&amp;EC'!X:X,"&lt;&gt;Error")</f>
        <v>0</v>
      </c>
      <c r="J100" s="183">
        <f t="shared" si="3"/>
        <v>0</v>
      </c>
      <c r="K100" s="183">
        <f t="shared" si="4"/>
        <v>0</v>
      </c>
      <c r="L100" s="183">
        <f t="shared" si="5"/>
        <v>0</v>
      </c>
      <c r="M100" s="183">
        <f t="shared" si="6"/>
        <v>0</v>
      </c>
    </row>
    <row r="101" spans="2:13" x14ac:dyDescent="0.4">
      <c r="B101" s="208" t="s">
        <v>122</v>
      </c>
      <c r="C101" s="208" t="str">
        <f>IF('Final financial statement'!E59=0,"",'Final financial statement'!E59)</f>
        <v/>
      </c>
      <c r="D101" s="182">
        <f>SUMIFS('2-3-6. Travel Costs&amp;CoS&amp;EC'!U:U,'2-3-6. Travel Costs&amp;CoS&amp;EC'!C:C,B101,'2-3-6. Travel Costs&amp;CoS&amp;EC'!I:I,$D$63,'2-3-6. Travel Costs&amp;CoS&amp;EC'!Y:Y,1,'2-3-6. Travel Costs&amp;CoS&amp;EC'!X:X,"&lt;&gt;Error")</f>
        <v>0</v>
      </c>
      <c r="E101" s="182">
        <f>SUMIFS('2-3-6. Travel Costs&amp;CoS&amp;EC'!U:U,'2-3-6. Travel Costs&amp;CoS&amp;EC'!C:C,B101,'2-3-6. Travel Costs&amp;CoS&amp;EC'!I:I,$D$63,'2-3-6. Travel Costs&amp;CoS&amp;EC'!Y:Y,2,'2-3-6. Travel Costs&amp;CoS&amp;EC'!X:X,"&lt;&gt;Error")</f>
        <v>0</v>
      </c>
      <c r="F101" s="182">
        <f>SUMIFS('2-3-6. Travel Costs&amp;CoS&amp;EC'!V:V,'2-3-6. Travel Costs&amp;CoS&amp;EC'!C:C,B101,'2-3-6. Travel Costs&amp;CoS&amp;EC'!I:I,$D$63,'2-3-6. Travel Costs&amp;CoS&amp;EC'!X:X,"&lt;&gt;Error")</f>
        <v>0</v>
      </c>
      <c r="G101" s="182">
        <f>SUMIFS('2-3-6. Travel Costs&amp;CoS&amp;EC'!U:U,'2-3-6. Travel Costs&amp;CoS&amp;EC'!C:C,B101,'2-3-6. Travel Costs&amp;CoS&amp;EC'!I:I,$G$63,'2-3-6. Travel Costs&amp;CoS&amp;EC'!Y:Y,1,'2-3-6. Travel Costs&amp;CoS&amp;EC'!X:X,"&lt;&gt;Error")</f>
        <v>0</v>
      </c>
      <c r="H101" s="182">
        <f>SUMIFS('2-3-6. Travel Costs&amp;CoS&amp;EC'!U:U,'2-3-6. Travel Costs&amp;CoS&amp;EC'!C:C,B101,'2-3-6. Travel Costs&amp;CoS&amp;EC'!I:I,$G$63,'2-3-6. Travel Costs&amp;CoS&amp;EC'!Y:Y,2,'2-3-6. Travel Costs&amp;CoS&amp;EC'!X:X,"&lt;&gt;Error")</f>
        <v>0</v>
      </c>
      <c r="I101" s="182">
        <f>SUMIFS('2-3-6. Travel Costs&amp;CoS&amp;EC'!V:V,'2-3-6. Travel Costs&amp;CoS&amp;EC'!C:C,B101,'2-3-6. Travel Costs&amp;CoS&amp;EC'!I:I,$G$63,'2-3-6. Travel Costs&amp;CoS&amp;EC'!X:X,"&lt;&gt;Error")</f>
        <v>0</v>
      </c>
      <c r="J101" s="183">
        <f t="shared" si="3"/>
        <v>0</v>
      </c>
      <c r="K101" s="183">
        <f t="shared" si="4"/>
        <v>0</v>
      </c>
      <c r="L101" s="183">
        <f t="shared" si="5"/>
        <v>0</v>
      </c>
      <c r="M101" s="183">
        <f t="shared" si="6"/>
        <v>0</v>
      </c>
    </row>
    <row r="102" spans="2:13" x14ac:dyDescent="0.4">
      <c r="B102" s="208" t="s">
        <v>123</v>
      </c>
      <c r="C102" s="208" t="str">
        <f>IF('Final financial statement'!E60=0,"",'Final financial statement'!E60)</f>
        <v/>
      </c>
      <c r="D102" s="182">
        <f>SUMIFS('2-3-6. Travel Costs&amp;CoS&amp;EC'!U:U,'2-3-6. Travel Costs&amp;CoS&amp;EC'!C:C,B102,'2-3-6. Travel Costs&amp;CoS&amp;EC'!I:I,$D$63,'2-3-6. Travel Costs&amp;CoS&amp;EC'!Y:Y,1,'2-3-6. Travel Costs&amp;CoS&amp;EC'!X:X,"&lt;&gt;Error")</f>
        <v>0</v>
      </c>
      <c r="E102" s="182">
        <f>SUMIFS('2-3-6. Travel Costs&amp;CoS&amp;EC'!U:U,'2-3-6. Travel Costs&amp;CoS&amp;EC'!C:C,B102,'2-3-6. Travel Costs&amp;CoS&amp;EC'!I:I,$D$63,'2-3-6. Travel Costs&amp;CoS&amp;EC'!Y:Y,2,'2-3-6. Travel Costs&amp;CoS&amp;EC'!X:X,"&lt;&gt;Error")</f>
        <v>0</v>
      </c>
      <c r="F102" s="182">
        <f>SUMIFS('2-3-6. Travel Costs&amp;CoS&amp;EC'!V:V,'2-3-6. Travel Costs&amp;CoS&amp;EC'!C:C,B102,'2-3-6. Travel Costs&amp;CoS&amp;EC'!I:I,$D$63,'2-3-6. Travel Costs&amp;CoS&amp;EC'!X:X,"&lt;&gt;Error")</f>
        <v>0</v>
      </c>
      <c r="G102" s="182">
        <f>SUMIFS('2-3-6. Travel Costs&amp;CoS&amp;EC'!U:U,'2-3-6. Travel Costs&amp;CoS&amp;EC'!C:C,B102,'2-3-6. Travel Costs&amp;CoS&amp;EC'!I:I,$G$63,'2-3-6. Travel Costs&amp;CoS&amp;EC'!Y:Y,1,'2-3-6. Travel Costs&amp;CoS&amp;EC'!X:X,"&lt;&gt;Error")</f>
        <v>0</v>
      </c>
      <c r="H102" s="182">
        <f>SUMIFS('2-3-6. Travel Costs&amp;CoS&amp;EC'!U:U,'2-3-6. Travel Costs&amp;CoS&amp;EC'!C:C,B102,'2-3-6. Travel Costs&amp;CoS&amp;EC'!I:I,$G$63,'2-3-6. Travel Costs&amp;CoS&amp;EC'!Y:Y,2,'2-3-6. Travel Costs&amp;CoS&amp;EC'!X:X,"&lt;&gt;Error")</f>
        <v>0</v>
      </c>
      <c r="I102" s="182">
        <f>SUMIFS('2-3-6. Travel Costs&amp;CoS&amp;EC'!V:V,'2-3-6. Travel Costs&amp;CoS&amp;EC'!C:C,B102,'2-3-6. Travel Costs&amp;CoS&amp;EC'!I:I,$G$63,'2-3-6. Travel Costs&amp;CoS&amp;EC'!X:X,"&lt;&gt;Error")</f>
        <v>0</v>
      </c>
      <c r="J102" s="183">
        <f t="shared" si="3"/>
        <v>0</v>
      </c>
      <c r="K102" s="183">
        <f t="shared" si="4"/>
        <v>0</v>
      </c>
      <c r="L102" s="183">
        <f t="shared" si="5"/>
        <v>0</v>
      </c>
      <c r="M102" s="183">
        <f t="shared" si="6"/>
        <v>0</v>
      </c>
    </row>
    <row r="103" spans="2:13" x14ac:dyDescent="0.4">
      <c r="B103" s="208" t="s">
        <v>124</v>
      </c>
      <c r="C103" s="208" t="str">
        <f>IF('Final financial statement'!E61=0,"",'Final financial statement'!E61)</f>
        <v/>
      </c>
      <c r="D103" s="182">
        <f>SUMIFS('2-3-6. Travel Costs&amp;CoS&amp;EC'!U:U,'2-3-6. Travel Costs&amp;CoS&amp;EC'!C:C,B103,'2-3-6. Travel Costs&amp;CoS&amp;EC'!I:I,$D$63,'2-3-6. Travel Costs&amp;CoS&amp;EC'!Y:Y,1,'2-3-6. Travel Costs&amp;CoS&amp;EC'!X:X,"&lt;&gt;Error")</f>
        <v>0</v>
      </c>
      <c r="E103" s="182">
        <f>SUMIFS('2-3-6. Travel Costs&amp;CoS&amp;EC'!U:U,'2-3-6. Travel Costs&amp;CoS&amp;EC'!C:C,B103,'2-3-6. Travel Costs&amp;CoS&amp;EC'!I:I,$D$63,'2-3-6. Travel Costs&amp;CoS&amp;EC'!Y:Y,2,'2-3-6. Travel Costs&amp;CoS&amp;EC'!X:X,"&lt;&gt;Error")</f>
        <v>0</v>
      </c>
      <c r="F103" s="182">
        <f>SUMIFS('2-3-6. Travel Costs&amp;CoS&amp;EC'!V:V,'2-3-6. Travel Costs&amp;CoS&amp;EC'!C:C,B103,'2-3-6. Travel Costs&amp;CoS&amp;EC'!I:I,$D$63,'2-3-6. Travel Costs&amp;CoS&amp;EC'!X:X,"&lt;&gt;Error")</f>
        <v>0</v>
      </c>
      <c r="G103" s="182">
        <f>SUMIFS('2-3-6. Travel Costs&amp;CoS&amp;EC'!U:U,'2-3-6. Travel Costs&amp;CoS&amp;EC'!C:C,B103,'2-3-6. Travel Costs&amp;CoS&amp;EC'!I:I,$G$63,'2-3-6. Travel Costs&amp;CoS&amp;EC'!Y:Y,1,'2-3-6. Travel Costs&amp;CoS&amp;EC'!X:X,"&lt;&gt;Error")</f>
        <v>0</v>
      </c>
      <c r="H103" s="182">
        <f>SUMIFS('2-3-6. Travel Costs&amp;CoS&amp;EC'!U:U,'2-3-6. Travel Costs&amp;CoS&amp;EC'!C:C,B103,'2-3-6. Travel Costs&amp;CoS&amp;EC'!I:I,$G$63,'2-3-6. Travel Costs&amp;CoS&amp;EC'!Y:Y,2,'2-3-6. Travel Costs&amp;CoS&amp;EC'!X:X,"&lt;&gt;Error")</f>
        <v>0</v>
      </c>
      <c r="I103" s="182">
        <f>SUMIFS('2-3-6. Travel Costs&amp;CoS&amp;EC'!V:V,'2-3-6. Travel Costs&amp;CoS&amp;EC'!C:C,B103,'2-3-6. Travel Costs&amp;CoS&amp;EC'!I:I,$G$63,'2-3-6. Travel Costs&amp;CoS&amp;EC'!X:X,"&lt;&gt;Error")</f>
        <v>0</v>
      </c>
      <c r="J103" s="183">
        <f t="shared" si="3"/>
        <v>0</v>
      </c>
      <c r="K103" s="183">
        <f t="shared" si="4"/>
        <v>0</v>
      </c>
      <c r="L103" s="183">
        <f t="shared" si="5"/>
        <v>0</v>
      </c>
      <c r="M103" s="183">
        <f t="shared" si="6"/>
        <v>0</v>
      </c>
    </row>
    <row r="104" spans="2:13" x14ac:dyDescent="0.4">
      <c r="B104" s="208" t="s">
        <v>125</v>
      </c>
      <c r="C104" s="208" t="str">
        <f>IF('Final financial statement'!E62=0,"",'Final financial statement'!E62)</f>
        <v/>
      </c>
      <c r="D104" s="182">
        <f>SUMIFS('2-3-6. Travel Costs&amp;CoS&amp;EC'!U:U,'2-3-6. Travel Costs&amp;CoS&amp;EC'!C:C,B104,'2-3-6. Travel Costs&amp;CoS&amp;EC'!I:I,$D$63,'2-3-6. Travel Costs&amp;CoS&amp;EC'!Y:Y,1,'2-3-6. Travel Costs&amp;CoS&amp;EC'!X:X,"&lt;&gt;Error")</f>
        <v>0</v>
      </c>
      <c r="E104" s="182">
        <f>SUMIFS('2-3-6. Travel Costs&amp;CoS&amp;EC'!U:U,'2-3-6. Travel Costs&amp;CoS&amp;EC'!C:C,B104,'2-3-6. Travel Costs&amp;CoS&amp;EC'!I:I,$D$63,'2-3-6. Travel Costs&amp;CoS&amp;EC'!Y:Y,2,'2-3-6. Travel Costs&amp;CoS&amp;EC'!X:X,"&lt;&gt;Error")</f>
        <v>0</v>
      </c>
      <c r="F104" s="182">
        <f>SUMIFS('2-3-6. Travel Costs&amp;CoS&amp;EC'!V:V,'2-3-6. Travel Costs&amp;CoS&amp;EC'!C:C,B104,'2-3-6. Travel Costs&amp;CoS&amp;EC'!I:I,$D$63,'2-3-6. Travel Costs&amp;CoS&amp;EC'!X:X,"&lt;&gt;Error")</f>
        <v>0</v>
      </c>
      <c r="G104" s="182">
        <f>SUMIFS('2-3-6. Travel Costs&amp;CoS&amp;EC'!U:U,'2-3-6. Travel Costs&amp;CoS&amp;EC'!C:C,B104,'2-3-6. Travel Costs&amp;CoS&amp;EC'!I:I,$G$63,'2-3-6. Travel Costs&amp;CoS&amp;EC'!Y:Y,1,'2-3-6. Travel Costs&amp;CoS&amp;EC'!X:X,"&lt;&gt;Error")</f>
        <v>0</v>
      </c>
      <c r="H104" s="182">
        <f>SUMIFS('2-3-6. Travel Costs&amp;CoS&amp;EC'!U:U,'2-3-6. Travel Costs&amp;CoS&amp;EC'!C:C,B104,'2-3-6. Travel Costs&amp;CoS&amp;EC'!I:I,$G$63,'2-3-6. Travel Costs&amp;CoS&amp;EC'!Y:Y,2,'2-3-6. Travel Costs&amp;CoS&amp;EC'!X:X,"&lt;&gt;Error")</f>
        <v>0</v>
      </c>
      <c r="I104" s="182">
        <f>SUMIFS('2-3-6. Travel Costs&amp;CoS&amp;EC'!V:V,'2-3-6. Travel Costs&amp;CoS&amp;EC'!C:C,B104,'2-3-6. Travel Costs&amp;CoS&amp;EC'!I:I,$G$63,'2-3-6. Travel Costs&amp;CoS&amp;EC'!X:X,"&lt;&gt;Error")</f>
        <v>0</v>
      </c>
      <c r="J104" s="183">
        <f t="shared" si="3"/>
        <v>0</v>
      </c>
      <c r="K104" s="183">
        <f t="shared" si="4"/>
        <v>0</v>
      </c>
      <c r="L104" s="183">
        <f t="shared" si="5"/>
        <v>0</v>
      </c>
      <c r="M104" s="183">
        <f t="shared" si="6"/>
        <v>0</v>
      </c>
    </row>
    <row r="105" spans="2:13" x14ac:dyDescent="0.4">
      <c r="B105" s="208" t="s">
        <v>132</v>
      </c>
      <c r="C105" s="208" t="str">
        <f>IF('Final financial statement'!E63=0,"",'Final financial statement'!E63)</f>
        <v/>
      </c>
      <c r="D105" s="182">
        <f>SUMIFS('2-3-6. Travel Costs&amp;CoS&amp;EC'!U:U,'2-3-6. Travel Costs&amp;CoS&amp;EC'!C:C,B105,'2-3-6. Travel Costs&amp;CoS&amp;EC'!I:I,$D$63,'2-3-6. Travel Costs&amp;CoS&amp;EC'!Y:Y,1,'2-3-6. Travel Costs&amp;CoS&amp;EC'!X:X,"&lt;&gt;Error")</f>
        <v>0</v>
      </c>
      <c r="E105" s="182">
        <f>SUMIFS('2-3-6. Travel Costs&amp;CoS&amp;EC'!U:U,'2-3-6. Travel Costs&amp;CoS&amp;EC'!C:C,B105,'2-3-6. Travel Costs&amp;CoS&amp;EC'!I:I,$D$63,'2-3-6. Travel Costs&amp;CoS&amp;EC'!Y:Y,2,'2-3-6. Travel Costs&amp;CoS&amp;EC'!X:X,"&lt;&gt;Error")</f>
        <v>0</v>
      </c>
      <c r="F105" s="182">
        <f>SUMIFS('2-3-6. Travel Costs&amp;CoS&amp;EC'!V:V,'2-3-6. Travel Costs&amp;CoS&amp;EC'!C:C,B105,'2-3-6. Travel Costs&amp;CoS&amp;EC'!I:I,$D$63,'2-3-6. Travel Costs&amp;CoS&amp;EC'!X:X,"&lt;&gt;Error")</f>
        <v>0</v>
      </c>
      <c r="G105" s="182">
        <f>SUMIFS('2-3-6. Travel Costs&amp;CoS&amp;EC'!U:U,'2-3-6. Travel Costs&amp;CoS&amp;EC'!C:C,B105,'2-3-6. Travel Costs&amp;CoS&amp;EC'!I:I,$G$63,'2-3-6. Travel Costs&amp;CoS&amp;EC'!Y:Y,1,'2-3-6. Travel Costs&amp;CoS&amp;EC'!X:X,"&lt;&gt;Error")</f>
        <v>0</v>
      </c>
      <c r="H105" s="182">
        <f>SUMIFS('2-3-6. Travel Costs&amp;CoS&amp;EC'!U:U,'2-3-6. Travel Costs&amp;CoS&amp;EC'!C:C,B105,'2-3-6. Travel Costs&amp;CoS&amp;EC'!I:I,$G$63,'2-3-6. Travel Costs&amp;CoS&amp;EC'!Y:Y,2,'2-3-6. Travel Costs&amp;CoS&amp;EC'!X:X,"&lt;&gt;Error")</f>
        <v>0</v>
      </c>
      <c r="I105" s="182">
        <f>SUMIFS('2-3-6. Travel Costs&amp;CoS&amp;EC'!V:V,'2-3-6. Travel Costs&amp;CoS&amp;EC'!C:C,B105,'2-3-6. Travel Costs&amp;CoS&amp;EC'!I:I,$G$63,'2-3-6. Travel Costs&amp;CoS&amp;EC'!X:X,"&lt;&gt;Error")</f>
        <v>0</v>
      </c>
      <c r="J105" s="183">
        <f t="shared" si="3"/>
        <v>0</v>
      </c>
      <c r="K105" s="183">
        <f t="shared" si="4"/>
        <v>0</v>
      </c>
      <c r="L105" s="183">
        <f t="shared" si="5"/>
        <v>0</v>
      </c>
      <c r="M105" s="183">
        <f t="shared" si="6"/>
        <v>0</v>
      </c>
    </row>
    <row r="106" spans="2:13" x14ac:dyDescent="0.4">
      <c r="B106" s="208" t="s">
        <v>133</v>
      </c>
      <c r="C106" s="208" t="str">
        <f>IF('Final financial statement'!E64=0,"",'Final financial statement'!E64)</f>
        <v/>
      </c>
      <c r="D106" s="182">
        <f>SUMIFS('2-3-6. Travel Costs&amp;CoS&amp;EC'!U:U,'2-3-6. Travel Costs&amp;CoS&amp;EC'!C:C,B106,'2-3-6. Travel Costs&amp;CoS&amp;EC'!I:I,$D$63,'2-3-6. Travel Costs&amp;CoS&amp;EC'!Y:Y,1,'2-3-6. Travel Costs&amp;CoS&amp;EC'!X:X,"&lt;&gt;Error")</f>
        <v>0</v>
      </c>
      <c r="E106" s="182">
        <f>SUMIFS('2-3-6. Travel Costs&amp;CoS&amp;EC'!U:U,'2-3-6. Travel Costs&amp;CoS&amp;EC'!C:C,B106,'2-3-6. Travel Costs&amp;CoS&amp;EC'!I:I,$D$63,'2-3-6. Travel Costs&amp;CoS&amp;EC'!Y:Y,2,'2-3-6. Travel Costs&amp;CoS&amp;EC'!X:X,"&lt;&gt;Error")</f>
        <v>0</v>
      </c>
      <c r="F106" s="182">
        <f>SUMIFS('2-3-6. Travel Costs&amp;CoS&amp;EC'!V:V,'2-3-6. Travel Costs&amp;CoS&amp;EC'!C:C,B106,'2-3-6. Travel Costs&amp;CoS&amp;EC'!I:I,$D$63,'2-3-6. Travel Costs&amp;CoS&amp;EC'!X:X,"&lt;&gt;Error")</f>
        <v>0</v>
      </c>
      <c r="G106" s="182">
        <f>SUMIFS('2-3-6. Travel Costs&amp;CoS&amp;EC'!U:U,'2-3-6. Travel Costs&amp;CoS&amp;EC'!C:C,B106,'2-3-6. Travel Costs&amp;CoS&amp;EC'!I:I,$G$63,'2-3-6. Travel Costs&amp;CoS&amp;EC'!Y:Y,1,'2-3-6. Travel Costs&amp;CoS&amp;EC'!X:X,"&lt;&gt;Error")</f>
        <v>0</v>
      </c>
      <c r="H106" s="182">
        <f>SUMIFS('2-3-6. Travel Costs&amp;CoS&amp;EC'!U:U,'2-3-6. Travel Costs&amp;CoS&amp;EC'!C:C,B106,'2-3-6. Travel Costs&amp;CoS&amp;EC'!I:I,$G$63,'2-3-6. Travel Costs&amp;CoS&amp;EC'!Y:Y,2,'2-3-6. Travel Costs&amp;CoS&amp;EC'!X:X,"&lt;&gt;Error")</f>
        <v>0</v>
      </c>
      <c r="I106" s="182">
        <f>SUMIFS('2-3-6. Travel Costs&amp;CoS&amp;EC'!V:V,'2-3-6. Travel Costs&amp;CoS&amp;EC'!C:C,B106,'2-3-6. Travel Costs&amp;CoS&amp;EC'!I:I,$G$63,'2-3-6. Travel Costs&amp;CoS&amp;EC'!X:X,"&lt;&gt;Error")</f>
        <v>0</v>
      </c>
      <c r="J106" s="183">
        <f t="shared" si="3"/>
        <v>0</v>
      </c>
      <c r="K106" s="183">
        <f t="shared" si="4"/>
        <v>0</v>
      </c>
      <c r="L106" s="183">
        <f t="shared" si="5"/>
        <v>0</v>
      </c>
      <c r="M106" s="183">
        <f t="shared" si="6"/>
        <v>0</v>
      </c>
    </row>
    <row r="107" spans="2:13" x14ac:dyDescent="0.4">
      <c r="B107" s="208" t="s">
        <v>134</v>
      </c>
      <c r="C107" s="208" t="str">
        <f>IF('Final financial statement'!E65=0,"",'Final financial statement'!E65)</f>
        <v/>
      </c>
      <c r="D107" s="182">
        <f>SUMIFS('2-3-6. Travel Costs&amp;CoS&amp;EC'!U:U,'2-3-6. Travel Costs&amp;CoS&amp;EC'!C:C,B107,'2-3-6. Travel Costs&amp;CoS&amp;EC'!I:I,$D$63,'2-3-6. Travel Costs&amp;CoS&amp;EC'!Y:Y,1,'2-3-6. Travel Costs&amp;CoS&amp;EC'!X:X,"&lt;&gt;Error")</f>
        <v>0</v>
      </c>
      <c r="E107" s="182">
        <f>SUMIFS('2-3-6. Travel Costs&amp;CoS&amp;EC'!U:U,'2-3-6. Travel Costs&amp;CoS&amp;EC'!C:C,B107,'2-3-6. Travel Costs&amp;CoS&amp;EC'!I:I,$D$63,'2-3-6. Travel Costs&amp;CoS&amp;EC'!Y:Y,2,'2-3-6. Travel Costs&amp;CoS&amp;EC'!X:X,"&lt;&gt;Error")</f>
        <v>0</v>
      </c>
      <c r="F107" s="182">
        <f>SUMIFS('2-3-6. Travel Costs&amp;CoS&amp;EC'!V:V,'2-3-6. Travel Costs&amp;CoS&amp;EC'!C:C,B107,'2-3-6. Travel Costs&amp;CoS&amp;EC'!I:I,$D$63,'2-3-6. Travel Costs&amp;CoS&amp;EC'!X:X,"&lt;&gt;Error")</f>
        <v>0</v>
      </c>
      <c r="G107" s="182">
        <f>SUMIFS('2-3-6. Travel Costs&amp;CoS&amp;EC'!U:U,'2-3-6. Travel Costs&amp;CoS&amp;EC'!C:C,B107,'2-3-6. Travel Costs&amp;CoS&amp;EC'!I:I,$G$63,'2-3-6. Travel Costs&amp;CoS&amp;EC'!Y:Y,1,'2-3-6. Travel Costs&amp;CoS&amp;EC'!X:X,"&lt;&gt;Error")</f>
        <v>0</v>
      </c>
      <c r="H107" s="182">
        <f>SUMIFS('2-3-6. Travel Costs&amp;CoS&amp;EC'!U:U,'2-3-6. Travel Costs&amp;CoS&amp;EC'!C:C,B107,'2-3-6. Travel Costs&amp;CoS&amp;EC'!I:I,$G$63,'2-3-6. Travel Costs&amp;CoS&amp;EC'!Y:Y,2,'2-3-6. Travel Costs&amp;CoS&amp;EC'!X:X,"&lt;&gt;Error")</f>
        <v>0</v>
      </c>
      <c r="I107" s="182">
        <f>SUMIFS('2-3-6. Travel Costs&amp;CoS&amp;EC'!V:V,'2-3-6. Travel Costs&amp;CoS&amp;EC'!C:C,B107,'2-3-6. Travel Costs&amp;CoS&amp;EC'!I:I,$G$63,'2-3-6. Travel Costs&amp;CoS&amp;EC'!X:X,"&lt;&gt;Error")</f>
        <v>0</v>
      </c>
      <c r="J107" s="183">
        <f t="shared" si="3"/>
        <v>0</v>
      </c>
      <c r="K107" s="183">
        <f t="shared" si="4"/>
        <v>0</v>
      </c>
      <c r="L107" s="183">
        <f t="shared" si="5"/>
        <v>0</v>
      </c>
      <c r="M107" s="183">
        <f t="shared" si="6"/>
        <v>0</v>
      </c>
    </row>
    <row r="108" spans="2:13" x14ac:dyDescent="0.4">
      <c r="B108" s="208" t="s">
        <v>135</v>
      </c>
      <c r="C108" s="208" t="str">
        <f>IF('Final financial statement'!E66=0,"",'Final financial statement'!E66)</f>
        <v/>
      </c>
      <c r="D108" s="182">
        <f>SUMIFS('2-3-6. Travel Costs&amp;CoS&amp;EC'!U:U,'2-3-6. Travel Costs&amp;CoS&amp;EC'!C:C,B108,'2-3-6. Travel Costs&amp;CoS&amp;EC'!I:I,$D$63,'2-3-6. Travel Costs&amp;CoS&amp;EC'!Y:Y,1,'2-3-6. Travel Costs&amp;CoS&amp;EC'!X:X,"&lt;&gt;Error")</f>
        <v>0</v>
      </c>
      <c r="E108" s="182">
        <f>SUMIFS('2-3-6. Travel Costs&amp;CoS&amp;EC'!U:U,'2-3-6. Travel Costs&amp;CoS&amp;EC'!C:C,B108,'2-3-6. Travel Costs&amp;CoS&amp;EC'!I:I,$D$63,'2-3-6. Travel Costs&amp;CoS&amp;EC'!Y:Y,2,'2-3-6. Travel Costs&amp;CoS&amp;EC'!X:X,"&lt;&gt;Error")</f>
        <v>0</v>
      </c>
      <c r="F108" s="182">
        <f>SUMIFS('2-3-6. Travel Costs&amp;CoS&amp;EC'!V:V,'2-3-6. Travel Costs&amp;CoS&amp;EC'!C:C,B108,'2-3-6. Travel Costs&amp;CoS&amp;EC'!I:I,$D$63,'2-3-6. Travel Costs&amp;CoS&amp;EC'!X:X,"&lt;&gt;Error")</f>
        <v>0</v>
      </c>
      <c r="G108" s="182">
        <f>SUMIFS('2-3-6. Travel Costs&amp;CoS&amp;EC'!U:U,'2-3-6. Travel Costs&amp;CoS&amp;EC'!C:C,B108,'2-3-6. Travel Costs&amp;CoS&amp;EC'!I:I,$G$63,'2-3-6. Travel Costs&amp;CoS&amp;EC'!Y:Y,1,'2-3-6. Travel Costs&amp;CoS&amp;EC'!X:X,"&lt;&gt;Error")</f>
        <v>0</v>
      </c>
      <c r="H108" s="182">
        <f>SUMIFS('2-3-6. Travel Costs&amp;CoS&amp;EC'!U:U,'2-3-6. Travel Costs&amp;CoS&amp;EC'!C:C,B108,'2-3-6. Travel Costs&amp;CoS&amp;EC'!I:I,$G$63,'2-3-6. Travel Costs&amp;CoS&amp;EC'!Y:Y,2,'2-3-6. Travel Costs&amp;CoS&amp;EC'!X:X,"&lt;&gt;Error")</f>
        <v>0</v>
      </c>
      <c r="I108" s="182">
        <f>SUMIFS('2-3-6. Travel Costs&amp;CoS&amp;EC'!V:V,'2-3-6. Travel Costs&amp;CoS&amp;EC'!C:C,B108,'2-3-6. Travel Costs&amp;CoS&amp;EC'!I:I,$G$63,'2-3-6. Travel Costs&amp;CoS&amp;EC'!X:X,"&lt;&gt;Error")</f>
        <v>0</v>
      </c>
      <c r="J108" s="183">
        <f t="shared" si="3"/>
        <v>0</v>
      </c>
      <c r="K108" s="183">
        <f t="shared" si="4"/>
        <v>0</v>
      </c>
      <c r="L108" s="183">
        <f t="shared" si="5"/>
        <v>0</v>
      </c>
      <c r="M108" s="183">
        <f t="shared" si="6"/>
        <v>0</v>
      </c>
    </row>
    <row r="109" spans="2:13" x14ac:dyDescent="0.4">
      <c r="B109" s="208" t="s">
        <v>136</v>
      </c>
      <c r="C109" s="208" t="str">
        <f>IF('Final financial statement'!E67=0,"",'Final financial statement'!E67)</f>
        <v/>
      </c>
      <c r="D109" s="182">
        <f>SUMIFS('2-3-6. Travel Costs&amp;CoS&amp;EC'!U:U,'2-3-6. Travel Costs&amp;CoS&amp;EC'!C:C,B109,'2-3-6. Travel Costs&amp;CoS&amp;EC'!I:I,$D$63,'2-3-6. Travel Costs&amp;CoS&amp;EC'!Y:Y,1,'2-3-6. Travel Costs&amp;CoS&amp;EC'!X:X,"&lt;&gt;Error")</f>
        <v>0</v>
      </c>
      <c r="E109" s="182">
        <f>SUMIFS('2-3-6. Travel Costs&amp;CoS&amp;EC'!U:U,'2-3-6. Travel Costs&amp;CoS&amp;EC'!C:C,B109,'2-3-6. Travel Costs&amp;CoS&amp;EC'!I:I,$D$63,'2-3-6. Travel Costs&amp;CoS&amp;EC'!Y:Y,2,'2-3-6. Travel Costs&amp;CoS&amp;EC'!X:X,"&lt;&gt;Error")</f>
        <v>0</v>
      </c>
      <c r="F109" s="182">
        <f>SUMIFS('2-3-6. Travel Costs&amp;CoS&amp;EC'!V:V,'2-3-6. Travel Costs&amp;CoS&amp;EC'!C:C,B109,'2-3-6. Travel Costs&amp;CoS&amp;EC'!I:I,$D$63,'2-3-6. Travel Costs&amp;CoS&amp;EC'!X:X,"&lt;&gt;Error")</f>
        <v>0</v>
      </c>
      <c r="G109" s="182">
        <f>SUMIFS('2-3-6. Travel Costs&amp;CoS&amp;EC'!U:U,'2-3-6. Travel Costs&amp;CoS&amp;EC'!C:C,B109,'2-3-6. Travel Costs&amp;CoS&amp;EC'!I:I,$G$63,'2-3-6. Travel Costs&amp;CoS&amp;EC'!Y:Y,1,'2-3-6. Travel Costs&amp;CoS&amp;EC'!X:X,"&lt;&gt;Error")</f>
        <v>0</v>
      </c>
      <c r="H109" s="182">
        <f>SUMIFS('2-3-6. Travel Costs&amp;CoS&amp;EC'!U:U,'2-3-6. Travel Costs&amp;CoS&amp;EC'!C:C,B109,'2-3-6. Travel Costs&amp;CoS&amp;EC'!I:I,$G$63,'2-3-6. Travel Costs&amp;CoS&amp;EC'!Y:Y,2,'2-3-6. Travel Costs&amp;CoS&amp;EC'!X:X,"&lt;&gt;Error")</f>
        <v>0</v>
      </c>
      <c r="I109" s="182">
        <f>SUMIFS('2-3-6. Travel Costs&amp;CoS&amp;EC'!V:V,'2-3-6. Travel Costs&amp;CoS&amp;EC'!C:C,B109,'2-3-6. Travel Costs&amp;CoS&amp;EC'!I:I,$G$63,'2-3-6. Travel Costs&amp;CoS&amp;EC'!X:X,"&lt;&gt;Error")</f>
        <v>0</v>
      </c>
      <c r="J109" s="183">
        <f t="shared" si="3"/>
        <v>0</v>
      </c>
      <c r="K109" s="183">
        <f t="shared" si="4"/>
        <v>0</v>
      </c>
      <c r="L109" s="183">
        <f t="shared" si="5"/>
        <v>0</v>
      </c>
      <c r="M109" s="183">
        <f t="shared" si="6"/>
        <v>0</v>
      </c>
    </row>
    <row r="110" spans="2:13" x14ac:dyDescent="0.4">
      <c r="B110" s="208" t="s">
        <v>137</v>
      </c>
      <c r="C110" s="208" t="str">
        <f>IF('Final financial statement'!E68=0,"",'Final financial statement'!E68)</f>
        <v/>
      </c>
      <c r="D110" s="182">
        <f>SUMIFS('2-3-6. Travel Costs&amp;CoS&amp;EC'!U:U,'2-3-6. Travel Costs&amp;CoS&amp;EC'!C:C,B110,'2-3-6. Travel Costs&amp;CoS&amp;EC'!I:I,$D$63,'2-3-6. Travel Costs&amp;CoS&amp;EC'!Y:Y,1,'2-3-6. Travel Costs&amp;CoS&amp;EC'!X:X,"&lt;&gt;Error")</f>
        <v>0</v>
      </c>
      <c r="E110" s="182">
        <f>SUMIFS('2-3-6. Travel Costs&amp;CoS&amp;EC'!U:U,'2-3-6. Travel Costs&amp;CoS&amp;EC'!C:C,B110,'2-3-6. Travel Costs&amp;CoS&amp;EC'!I:I,$D$63,'2-3-6. Travel Costs&amp;CoS&amp;EC'!Y:Y,2,'2-3-6. Travel Costs&amp;CoS&amp;EC'!X:X,"&lt;&gt;Error")</f>
        <v>0</v>
      </c>
      <c r="F110" s="182">
        <f>SUMIFS('2-3-6. Travel Costs&amp;CoS&amp;EC'!V:V,'2-3-6. Travel Costs&amp;CoS&amp;EC'!C:C,B110,'2-3-6. Travel Costs&amp;CoS&amp;EC'!I:I,$D$63,'2-3-6. Travel Costs&amp;CoS&amp;EC'!X:X,"&lt;&gt;Error")</f>
        <v>0</v>
      </c>
      <c r="G110" s="182">
        <f>SUMIFS('2-3-6. Travel Costs&amp;CoS&amp;EC'!U:U,'2-3-6. Travel Costs&amp;CoS&amp;EC'!C:C,B110,'2-3-6. Travel Costs&amp;CoS&amp;EC'!I:I,$G$63,'2-3-6. Travel Costs&amp;CoS&amp;EC'!Y:Y,1,'2-3-6. Travel Costs&amp;CoS&amp;EC'!X:X,"&lt;&gt;Error")</f>
        <v>0</v>
      </c>
      <c r="H110" s="182">
        <f>SUMIFS('2-3-6. Travel Costs&amp;CoS&amp;EC'!U:U,'2-3-6. Travel Costs&amp;CoS&amp;EC'!C:C,B110,'2-3-6. Travel Costs&amp;CoS&amp;EC'!I:I,$G$63,'2-3-6. Travel Costs&amp;CoS&amp;EC'!Y:Y,2,'2-3-6. Travel Costs&amp;CoS&amp;EC'!X:X,"&lt;&gt;Error")</f>
        <v>0</v>
      </c>
      <c r="I110" s="182">
        <f>SUMIFS('2-3-6. Travel Costs&amp;CoS&amp;EC'!V:V,'2-3-6. Travel Costs&amp;CoS&amp;EC'!C:C,B110,'2-3-6. Travel Costs&amp;CoS&amp;EC'!I:I,$G$63,'2-3-6. Travel Costs&amp;CoS&amp;EC'!X:X,"&lt;&gt;Error")</f>
        <v>0</v>
      </c>
      <c r="J110" s="183">
        <f t="shared" si="3"/>
        <v>0</v>
      </c>
      <c r="K110" s="183">
        <f t="shared" si="4"/>
        <v>0</v>
      </c>
      <c r="L110" s="183">
        <f t="shared" si="5"/>
        <v>0</v>
      </c>
      <c r="M110" s="183">
        <f t="shared" si="6"/>
        <v>0</v>
      </c>
    </row>
    <row r="111" spans="2:13" x14ac:dyDescent="0.4">
      <c r="B111" s="208" t="s">
        <v>138</v>
      </c>
      <c r="C111" s="208" t="str">
        <f>IF('Final financial statement'!E69=0,"",'Final financial statement'!E69)</f>
        <v/>
      </c>
      <c r="D111" s="182">
        <f>SUMIFS('2-3-6. Travel Costs&amp;CoS&amp;EC'!U:U,'2-3-6. Travel Costs&amp;CoS&amp;EC'!C:C,B111,'2-3-6. Travel Costs&amp;CoS&amp;EC'!I:I,$D$63,'2-3-6. Travel Costs&amp;CoS&amp;EC'!Y:Y,1,'2-3-6. Travel Costs&amp;CoS&amp;EC'!X:X,"&lt;&gt;Error")</f>
        <v>0</v>
      </c>
      <c r="E111" s="182">
        <f>SUMIFS('2-3-6. Travel Costs&amp;CoS&amp;EC'!U:U,'2-3-6. Travel Costs&amp;CoS&amp;EC'!C:C,B111,'2-3-6. Travel Costs&amp;CoS&amp;EC'!I:I,$D$63,'2-3-6. Travel Costs&amp;CoS&amp;EC'!Y:Y,2,'2-3-6. Travel Costs&amp;CoS&amp;EC'!X:X,"&lt;&gt;Error")</f>
        <v>0</v>
      </c>
      <c r="F111" s="182">
        <f>SUMIFS('2-3-6. Travel Costs&amp;CoS&amp;EC'!V:V,'2-3-6. Travel Costs&amp;CoS&amp;EC'!C:C,B111,'2-3-6. Travel Costs&amp;CoS&amp;EC'!I:I,$D$63,'2-3-6. Travel Costs&amp;CoS&amp;EC'!X:X,"&lt;&gt;Error")</f>
        <v>0</v>
      </c>
      <c r="G111" s="182">
        <f>SUMIFS('2-3-6. Travel Costs&amp;CoS&amp;EC'!U:U,'2-3-6. Travel Costs&amp;CoS&amp;EC'!C:C,B111,'2-3-6. Travel Costs&amp;CoS&amp;EC'!I:I,$G$63,'2-3-6. Travel Costs&amp;CoS&amp;EC'!Y:Y,1,'2-3-6. Travel Costs&amp;CoS&amp;EC'!X:X,"&lt;&gt;Error")</f>
        <v>0</v>
      </c>
      <c r="H111" s="182">
        <f>SUMIFS('2-3-6. Travel Costs&amp;CoS&amp;EC'!U:U,'2-3-6. Travel Costs&amp;CoS&amp;EC'!C:C,B111,'2-3-6. Travel Costs&amp;CoS&amp;EC'!I:I,$G$63,'2-3-6. Travel Costs&amp;CoS&amp;EC'!Y:Y,2,'2-3-6. Travel Costs&amp;CoS&amp;EC'!X:X,"&lt;&gt;Error")</f>
        <v>0</v>
      </c>
      <c r="I111" s="182">
        <f>SUMIFS('2-3-6. Travel Costs&amp;CoS&amp;EC'!V:V,'2-3-6. Travel Costs&amp;CoS&amp;EC'!C:C,B111,'2-3-6. Travel Costs&amp;CoS&amp;EC'!I:I,$G$63,'2-3-6. Travel Costs&amp;CoS&amp;EC'!X:X,"&lt;&gt;Error")</f>
        <v>0</v>
      </c>
      <c r="J111" s="183">
        <f t="shared" si="3"/>
        <v>0</v>
      </c>
      <c r="K111" s="183">
        <f t="shared" si="4"/>
        <v>0</v>
      </c>
      <c r="L111" s="183">
        <f t="shared" si="5"/>
        <v>0</v>
      </c>
      <c r="M111" s="183">
        <f t="shared" si="6"/>
        <v>0</v>
      </c>
    </row>
    <row r="112" spans="2:13" x14ac:dyDescent="0.4">
      <c r="B112" s="208" t="s">
        <v>139</v>
      </c>
      <c r="C112" s="208" t="str">
        <f>IF('Final financial statement'!E70=0,"",'Final financial statement'!E70)</f>
        <v/>
      </c>
      <c r="D112" s="182">
        <f>SUMIFS('2-3-6. Travel Costs&amp;CoS&amp;EC'!U:U,'2-3-6. Travel Costs&amp;CoS&amp;EC'!C:C,B112,'2-3-6. Travel Costs&amp;CoS&amp;EC'!I:I,$D$63,'2-3-6. Travel Costs&amp;CoS&amp;EC'!Y:Y,1,'2-3-6. Travel Costs&amp;CoS&amp;EC'!X:X,"&lt;&gt;Error")</f>
        <v>0</v>
      </c>
      <c r="E112" s="182">
        <f>SUMIFS('2-3-6. Travel Costs&amp;CoS&amp;EC'!U:U,'2-3-6. Travel Costs&amp;CoS&amp;EC'!C:C,B112,'2-3-6. Travel Costs&amp;CoS&amp;EC'!I:I,$D$63,'2-3-6. Travel Costs&amp;CoS&amp;EC'!Y:Y,2,'2-3-6. Travel Costs&amp;CoS&amp;EC'!X:X,"&lt;&gt;Error")</f>
        <v>0</v>
      </c>
      <c r="F112" s="182">
        <f>SUMIFS('2-3-6. Travel Costs&amp;CoS&amp;EC'!V:V,'2-3-6. Travel Costs&amp;CoS&amp;EC'!C:C,B112,'2-3-6. Travel Costs&amp;CoS&amp;EC'!I:I,$D$63,'2-3-6. Travel Costs&amp;CoS&amp;EC'!X:X,"&lt;&gt;Error")</f>
        <v>0</v>
      </c>
      <c r="G112" s="182">
        <f>SUMIFS('2-3-6. Travel Costs&amp;CoS&amp;EC'!U:U,'2-3-6. Travel Costs&amp;CoS&amp;EC'!C:C,B112,'2-3-6. Travel Costs&amp;CoS&amp;EC'!I:I,$G$63,'2-3-6. Travel Costs&amp;CoS&amp;EC'!Y:Y,1,'2-3-6. Travel Costs&amp;CoS&amp;EC'!X:X,"&lt;&gt;Error")</f>
        <v>0</v>
      </c>
      <c r="H112" s="182">
        <f>SUMIFS('2-3-6. Travel Costs&amp;CoS&amp;EC'!U:U,'2-3-6. Travel Costs&amp;CoS&amp;EC'!C:C,B112,'2-3-6. Travel Costs&amp;CoS&amp;EC'!I:I,$G$63,'2-3-6. Travel Costs&amp;CoS&amp;EC'!Y:Y,2,'2-3-6. Travel Costs&amp;CoS&amp;EC'!X:X,"&lt;&gt;Error")</f>
        <v>0</v>
      </c>
      <c r="I112" s="182">
        <f>SUMIFS('2-3-6. Travel Costs&amp;CoS&amp;EC'!V:V,'2-3-6. Travel Costs&amp;CoS&amp;EC'!C:C,B112,'2-3-6. Travel Costs&amp;CoS&amp;EC'!I:I,$G$63,'2-3-6. Travel Costs&amp;CoS&amp;EC'!X:X,"&lt;&gt;Error")</f>
        <v>0</v>
      </c>
      <c r="J112" s="183">
        <f t="shared" si="3"/>
        <v>0</v>
      </c>
      <c r="K112" s="183">
        <f t="shared" si="4"/>
        <v>0</v>
      </c>
      <c r="L112" s="183">
        <f t="shared" si="5"/>
        <v>0</v>
      </c>
      <c r="M112" s="183">
        <f t="shared" si="6"/>
        <v>0</v>
      </c>
    </row>
    <row r="113" spans="2:13" x14ac:dyDescent="0.4">
      <c r="B113" s="208" t="s">
        <v>140</v>
      </c>
      <c r="C113" s="208" t="str">
        <f>IF('Final financial statement'!E71=0,"",'Final financial statement'!E71)</f>
        <v/>
      </c>
      <c r="D113" s="182">
        <f>SUMIFS('2-3-6. Travel Costs&amp;CoS&amp;EC'!U:U,'2-3-6. Travel Costs&amp;CoS&amp;EC'!C:C,B113,'2-3-6. Travel Costs&amp;CoS&amp;EC'!I:I,$D$63,'2-3-6. Travel Costs&amp;CoS&amp;EC'!Y:Y,1,'2-3-6. Travel Costs&amp;CoS&amp;EC'!X:X,"&lt;&gt;Error")</f>
        <v>0</v>
      </c>
      <c r="E113" s="182">
        <f>SUMIFS('2-3-6. Travel Costs&amp;CoS&amp;EC'!U:U,'2-3-6. Travel Costs&amp;CoS&amp;EC'!C:C,B113,'2-3-6. Travel Costs&amp;CoS&amp;EC'!I:I,$D$63,'2-3-6. Travel Costs&amp;CoS&amp;EC'!Y:Y,2,'2-3-6. Travel Costs&amp;CoS&amp;EC'!X:X,"&lt;&gt;Error")</f>
        <v>0</v>
      </c>
      <c r="F113" s="182">
        <f>SUMIFS('2-3-6. Travel Costs&amp;CoS&amp;EC'!V:V,'2-3-6. Travel Costs&amp;CoS&amp;EC'!C:C,B113,'2-3-6. Travel Costs&amp;CoS&amp;EC'!I:I,$D$63,'2-3-6. Travel Costs&amp;CoS&amp;EC'!X:X,"&lt;&gt;Error")</f>
        <v>0</v>
      </c>
      <c r="G113" s="182">
        <f>SUMIFS('2-3-6. Travel Costs&amp;CoS&amp;EC'!U:U,'2-3-6. Travel Costs&amp;CoS&amp;EC'!C:C,B113,'2-3-6. Travel Costs&amp;CoS&amp;EC'!I:I,$G$63,'2-3-6. Travel Costs&amp;CoS&amp;EC'!Y:Y,1,'2-3-6. Travel Costs&amp;CoS&amp;EC'!X:X,"&lt;&gt;Error")</f>
        <v>0</v>
      </c>
      <c r="H113" s="182">
        <f>SUMIFS('2-3-6. Travel Costs&amp;CoS&amp;EC'!U:U,'2-3-6. Travel Costs&amp;CoS&amp;EC'!C:C,B113,'2-3-6. Travel Costs&amp;CoS&amp;EC'!I:I,$G$63,'2-3-6. Travel Costs&amp;CoS&amp;EC'!Y:Y,2,'2-3-6. Travel Costs&amp;CoS&amp;EC'!X:X,"&lt;&gt;Error")</f>
        <v>0</v>
      </c>
      <c r="I113" s="182">
        <f>SUMIFS('2-3-6. Travel Costs&amp;CoS&amp;EC'!V:V,'2-3-6. Travel Costs&amp;CoS&amp;EC'!C:C,B113,'2-3-6. Travel Costs&amp;CoS&amp;EC'!I:I,$G$63,'2-3-6. Travel Costs&amp;CoS&amp;EC'!X:X,"&lt;&gt;Error")</f>
        <v>0</v>
      </c>
      <c r="J113" s="183">
        <f t="shared" si="3"/>
        <v>0</v>
      </c>
      <c r="K113" s="183">
        <f t="shared" si="4"/>
        <v>0</v>
      </c>
      <c r="L113" s="183">
        <f t="shared" si="5"/>
        <v>0</v>
      </c>
      <c r="M113" s="183">
        <f t="shared" si="6"/>
        <v>0</v>
      </c>
    </row>
    <row r="114" spans="2:13" x14ac:dyDescent="0.4">
      <c r="B114" s="208" t="s">
        <v>141</v>
      </c>
      <c r="C114" s="208" t="str">
        <f>IF('Final financial statement'!E72=0,"",'Final financial statement'!E72)</f>
        <v/>
      </c>
      <c r="D114" s="182">
        <f>SUMIFS('2-3-6. Travel Costs&amp;CoS&amp;EC'!U:U,'2-3-6. Travel Costs&amp;CoS&amp;EC'!C:C,B114,'2-3-6. Travel Costs&amp;CoS&amp;EC'!I:I,$D$63,'2-3-6. Travel Costs&amp;CoS&amp;EC'!Y:Y,1,'2-3-6. Travel Costs&amp;CoS&amp;EC'!X:X,"&lt;&gt;Error")</f>
        <v>0</v>
      </c>
      <c r="E114" s="182">
        <f>SUMIFS('2-3-6. Travel Costs&amp;CoS&amp;EC'!U:U,'2-3-6. Travel Costs&amp;CoS&amp;EC'!C:C,B114,'2-3-6. Travel Costs&amp;CoS&amp;EC'!I:I,$D$63,'2-3-6. Travel Costs&amp;CoS&amp;EC'!Y:Y,2,'2-3-6. Travel Costs&amp;CoS&amp;EC'!X:X,"&lt;&gt;Error")</f>
        <v>0</v>
      </c>
      <c r="F114" s="182">
        <f>SUMIFS('2-3-6. Travel Costs&amp;CoS&amp;EC'!V:V,'2-3-6. Travel Costs&amp;CoS&amp;EC'!C:C,B114,'2-3-6. Travel Costs&amp;CoS&amp;EC'!I:I,$D$63,'2-3-6. Travel Costs&amp;CoS&amp;EC'!X:X,"&lt;&gt;Error")</f>
        <v>0</v>
      </c>
      <c r="G114" s="182">
        <f>SUMIFS('2-3-6. Travel Costs&amp;CoS&amp;EC'!U:U,'2-3-6. Travel Costs&amp;CoS&amp;EC'!C:C,B114,'2-3-6. Travel Costs&amp;CoS&amp;EC'!I:I,$G$63,'2-3-6. Travel Costs&amp;CoS&amp;EC'!Y:Y,1,'2-3-6. Travel Costs&amp;CoS&amp;EC'!X:X,"&lt;&gt;Error")</f>
        <v>0</v>
      </c>
      <c r="H114" s="182">
        <f>SUMIFS('2-3-6. Travel Costs&amp;CoS&amp;EC'!U:U,'2-3-6. Travel Costs&amp;CoS&amp;EC'!C:C,B114,'2-3-6. Travel Costs&amp;CoS&amp;EC'!I:I,$G$63,'2-3-6. Travel Costs&amp;CoS&amp;EC'!Y:Y,2,'2-3-6. Travel Costs&amp;CoS&amp;EC'!X:X,"&lt;&gt;Error")</f>
        <v>0</v>
      </c>
      <c r="I114" s="182">
        <f>SUMIFS('2-3-6. Travel Costs&amp;CoS&amp;EC'!V:V,'2-3-6. Travel Costs&amp;CoS&amp;EC'!C:C,B114,'2-3-6. Travel Costs&amp;CoS&amp;EC'!I:I,$G$63,'2-3-6. Travel Costs&amp;CoS&amp;EC'!X:X,"&lt;&gt;Error")</f>
        <v>0</v>
      </c>
      <c r="J114" s="183">
        <f t="shared" si="3"/>
        <v>0</v>
      </c>
      <c r="K114" s="183">
        <f t="shared" si="4"/>
        <v>0</v>
      </c>
      <c r="L114" s="183">
        <f t="shared" si="5"/>
        <v>0</v>
      </c>
      <c r="M114" s="183">
        <f t="shared" si="6"/>
        <v>0</v>
      </c>
    </row>
    <row r="115" spans="2:13" x14ac:dyDescent="0.4">
      <c r="B115" s="208" t="s">
        <v>146</v>
      </c>
      <c r="C115" s="208" t="str">
        <f>IF('Final financial statement'!E73=0,"",'Final financial statement'!E73)</f>
        <v/>
      </c>
      <c r="D115" s="182">
        <f>SUMIFS('2-3-6. Travel Costs&amp;CoS&amp;EC'!U:U,'2-3-6. Travel Costs&amp;CoS&amp;EC'!C:C,B115,'2-3-6. Travel Costs&amp;CoS&amp;EC'!I:I,$D$63,'2-3-6. Travel Costs&amp;CoS&amp;EC'!Y:Y,1,'2-3-6. Travel Costs&amp;CoS&amp;EC'!X:X,"&lt;&gt;Error")</f>
        <v>0</v>
      </c>
      <c r="E115" s="182">
        <f>SUMIFS('2-3-6. Travel Costs&amp;CoS&amp;EC'!U:U,'2-3-6. Travel Costs&amp;CoS&amp;EC'!C:C,B115,'2-3-6. Travel Costs&amp;CoS&amp;EC'!I:I,$D$63,'2-3-6. Travel Costs&amp;CoS&amp;EC'!Y:Y,2,'2-3-6. Travel Costs&amp;CoS&amp;EC'!X:X,"&lt;&gt;Error")</f>
        <v>0</v>
      </c>
      <c r="F115" s="182">
        <f>SUMIFS('2-3-6. Travel Costs&amp;CoS&amp;EC'!V:V,'2-3-6. Travel Costs&amp;CoS&amp;EC'!C:C,B115,'2-3-6. Travel Costs&amp;CoS&amp;EC'!I:I,$D$63,'2-3-6. Travel Costs&amp;CoS&amp;EC'!X:X,"&lt;&gt;Error")</f>
        <v>0</v>
      </c>
      <c r="G115" s="182">
        <f>SUMIFS('2-3-6. Travel Costs&amp;CoS&amp;EC'!U:U,'2-3-6. Travel Costs&amp;CoS&amp;EC'!C:C,B115,'2-3-6. Travel Costs&amp;CoS&amp;EC'!I:I,$G$63,'2-3-6. Travel Costs&amp;CoS&amp;EC'!Y:Y,1,'2-3-6. Travel Costs&amp;CoS&amp;EC'!X:X,"&lt;&gt;Error")</f>
        <v>0</v>
      </c>
      <c r="H115" s="182">
        <f>SUMIFS('2-3-6. Travel Costs&amp;CoS&amp;EC'!U:U,'2-3-6. Travel Costs&amp;CoS&amp;EC'!C:C,B115,'2-3-6. Travel Costs&amp;CoS&amp;EC'!I:I,$G$63,'2-3-6. Travel Costs&amp;CoS&amp;EC'!Y:Y,2,'2-3-6. Travel Costs&amp;CoS&amp;EC'!X:X,"&lt;&gt;Error")</f>
        <v>0</v>
      </c>
      <c r="I115" s="182">
        <f>SUMIFS('2-3-6. Travel Costs&amp;CoS&amp;EC'!V:V,'2-3-6. Travel Costs&amp;CoS&amp;EC'!C:C,B115,'2-3-6. Travel Costs&amp;CoS&amp;EC'!I:I,$G$63,'2-3-6. Travel Costs&amp;CoS&amp;EC'!X:X,"&lt;&gt;Error")</f>
        <v>0</v>
      </c>
      <c r="J115" s="183">
        <f t="shared" si="3"/>
        <v>0</v>
      </c>
      <c r="K115" s="183">
        <f t="shared" si="4"/>
        <v>0</v>
      </c>
      <c r="L115" s="183">
        <f t="shared" si="5"/>
        <v>0</v>
      </c>
      <c r="M115" s="183">
        <f t="shared" si="6"/>
        <v>0</v>
      </c>
    </row>
    <row r="116" spans="2:13" x14ac:dyDescent="0.4">
      <c r="B116" s="208" t="s">
        <v>147</v>
      </c>
      <c r="C116" s="208" t="str">
        <f>IF('Final financial statement'!E74=0,"",'Final financial statement'!E74)</f>
        <v/>
      </c>
      <c r="D116" s="182">
        <f>SUMIFS('2-3-6. Travel Costs&amp;CoS&amp;EC'!U:U,'2-3-6. Travel Costs&amp;CoS&amp;EC'!C:C,B116,'2-3-6. Travel Costs&amp;CoS&amp;EC'!I:I,$D$63,'2-3-6. Travel Costs&amp;CoS&amp;EC'!Y:Y,1,'2-3-6. Travel Costs&amp;CoS&amp;EC'!X:X,"&lt;&gt;Error")</f>
        <v>0</v>
      </c>
      <c r="E116" s="182">
        <f>SUMIFS('2-3-6. Travel Costs&amp;CoS&amp;EC'!U:U,'2-3-6. Travel Costs&amp;CoS&amp;EC'!C:C,B116,'2-3-6. Travel Costs&amp;CoS&amp;EC'!I:I,$D$63,'2-3-6. Travel Costs&amp;CoS&amp;EC'!Y:Y,2,'2-3-6. Travel Costs&amp;CoS&amp;EC'!X:X,"&lt;&gt;Error")</f>
        <v>0</v>
      </c>
      <c r="F116" s="182">
        <f>SUMIFS('2-3-6. Travel Costs&amp;CoS&amp;EC'!V:V,'2-3-6. Travel Costs&amp;CoS&amp;EC'!C:C,B116,'2-3-6. Travel Costs&amp;CoS&amp;EC'!I:I,$D$63,'2-3-6. Travel Costs&amp;CoS&amp;EC'!X:X,"&lt;&gt;Error")</f>
        <v>0</v>
      </c>
      <c r="G116" s="182">
        <f>SUMIFS('2-3-6. Travel Costs&amp;CoS&amp;EC'!U:U,'2-3-6. Travel Costs&amp;CoS&amp;EC'!C:C,B116,'2-3-6. Travel Costs&amp;CoS&amp;EC'!I:I,$G$63,'2-3-6. Travel Costs&amp;CoS&amp;EC'!Y:Y,1,'2-3-6. Travel Costs&amp;CoS&amp;EC'!X:X,"&lt;&gt;Error")</f>
        <v>0</v>
      </c>
      <c r="H116" s="182">
        <f>SUMIFS('2-3-6. Travel Costs&amp;CoS&amp;EC'!U:U,'2-3-6. Travel Costs&amp;CoS&amp;EC'!C:C,B116,'2-3-6. Travel Costs&amp;CoS&amp;EC'!I:I,$G$63,'2-3-6. Travel Costs&amp;CoS&amp;EC'!Y:Y,2,'2-3-6. Travel Costs&amp;CoS&amp;EC'!X:X,"&lt;&gt;Error")</f>
        <v>0</v>
      </c>
      <c r="I116" s="182">
        <f>SUMIFS('2-3-6. Travel Costs&amp;CoS&amp;EC'!V:V,'2-3-6. Travel Costs&amp;CoS&amp;EC'!C:C,B116,'2-3-6. Travel Costs&amp;CoS&amp;EC'!I:I,$G$63,'2-3-6. Travel Costs&amp;CoS&amp;EC'!X:X,"&lt;&gt;Error")</f>
        <v>0</v>
      </c>
      <c r="J116" s="183">
        <f t="shared" si="3"/>
        <v>0</v>
      </c>
      <c r="K116" s="183">
        <f t="shared" si="4"/>
        <v>0</v>
      </c>
      <c r="L116" s="183">
        <f t="shared" si="5"/>
        <v>0</v>
      </c>
      <c r="M116" s="183">
        <f t="shared" si="6"/>
        <v>0</v>
      </c>
    </row>
    <row r="117" spans="2:13" x14ac:dyDescent="0.4">
      <c r="B117" s="208" t="s">
        <v>148</v>
      </c>
      <c r="C117" s="208" t="str">
        <f>IF('Final financial statement'!E75=0,"",'Final financial statement'!E75)</f>
        <v/>
      </c>
      <c r="D117" s="182">
        <f>SUMIFS('2-3-6. Travel Costs&amp;CoS&amp;EC'!U:U,'2-3-6. Travel Costs&amp;CoS&amp;EC'!C:C,B117,'2-3-6. Travel Costs&amp;CoS&amp;EC'!I:I,$D$63,'2-3-6. Travel Costs&amp;CoS&amp;EC'!Y:Y,1,'2-3-6. Travel Costs&amp;CoS&amp;EC'!X:X,"&lt;&gt;Error")</f>
        <v>0</v>
      </c>
      <c r="E117" s="182">
        <f>SUMIFS('2-3-6. Travel Costs&amp;CoS&amp;EC'!U:U,'2-3-6. Travel Costs&amp;CoS&amp;EC'!C:C,B117,'2-3-6. Travel Costs&amp;CoS&amp;EC'!I:I,$D$63,'2-3-6. Travel Costs&amp;CoS&amp;EC'!Y:Y,2,'2-3-6. Travel Costs&amp;CoS&amp;EC'!X:X,"&lt;&gt;Error")</f>
        <v>0</v>
      </c>
      <c r="F117" s="182">
        <f>SUMIFS('2-3-6. Travel Costs&amp;CoS&amp;EC'!V:V,'2-3-6. Travel Costs&amp;CoS&amp;EC'!C:C,B117,'2-3-6. Travel Costs&amp;CoS&amp;EC'!I:I,$D$63,'2-3-6. Travel Costs&amp;CoS&amp;EC'!X:X,"&lt;&gt;Error")</f>
        <v>0</v>
      </c>
      <c r="G117" s="182">
        <f>SUMIFS('2-3-6. Travel Costs&amp;CoS&amp;EC'!U:U,'2-3-6. Travel Costs&amp;CoS&amp;EC'!C:C,B117,'2-3-6. Travel Costs&amp;CoS&amp;EC'!I:I,$G$63,'2-3-6. Travel Costs&amp;CoS&amp;EC'!Y:Y,1,'2-3-6. Travel Costs&amp;CoS&amp;EC'!X:X,"&lt;&gt;Error")</f>
        <v>0</v>
      </c>
      <c r="H117" s="182">
        <f>SUMIFS('2-3-6. Travel Costs&amp;CoS&amp;EC'!U:U,'2-3-6. Travel Costs&amp;CoS&amp;EC'!C:C,B117,'2-3-6. Travel Costs&amp;CoS&amp;EC'!I:I,$G$63,'2-3-6. Travel Costs&amp;CoS&amp;EC'!Y:Y,2,'2-3-6. Travel Costs&amp;CoS&amp;EC'!X:X,"&lt;&gt;Error")</f>
        <v>0</v>
      </c>
      <c r="I117" s="182">
        <f>SUMIFS('2-3-6. Travel Costs&amp;CoS&amp;EC'!V:V,'2-3-6. Travel Costs&amp;CoS&amp;EC'!C:C,B117,'2-3-6. Travel Costs&amp;CoS&amp;EC'!I:I,$G$63,'2-3-6. Travel Costs&amp;CoS&amp;EC'!X:X,"&lt;&gt;Error")</f>
        <v>0</v>
      </c>
      <c r="J117" s="183">
        <f t="shared" si="3"/>
        <v>0</v>
      </c>
      <c r="K117" s="183">
        <f t="shared" si="4"/>
        <v>0</v>
      </c>
      <c r="L117" s="183">
        <f t="shared" si="5"/>
        <v>0</v>
      </c>
      <c r="M117" s="183">
        <f t="shared" si="6"/>
        <v>0</v>
      </c>
    </row>
    <row r="118" spans="2:13" x14ac:dyDescent="0.4">
      <c r="B118" s="208" t="s">
        <v>149</v>
      </c>
      <c r="C118" s="208" t="str">
        <f>IF('Final financial statement'!E76=0,"",'Final financial statement'!E76)</f>
        <v/>
      </c>
      <c r="D118" s="182">
        <f>SUMIFS('2-3-6. Travel Costs&amp;CoS&amp;EC'!U:U,'2-3-6. Travel Costs&amp;CoS&amp;EC'!C:C,B118,'2-3-6. Travel Costs&amp;CoS&amp;EC'!I:I,$D$63,'2-3-6. Travel Costs&amp;CoS&amp;EC'!Y:Y,1,'2-3-6. Travel Costs&amp;CoS&amp;EC'!X:X,"&lt;&gt;Error")</f>
        <v>0</v>
      </c>
      <c r="E118" s="182">
        <f>SUMIFS('2-3-6. Travel Costs&amp;CoS&amp;EC'!U:U,'2-3-6. Travel Costs&amp;CoS&amp;EC'!C:C,B118,'2-3-6. Travel Costs&amp;CoS&amp;EC'!I:I,$D$63,'2-3-6. Travel Costs&amp;CoS&amp;EC'!Y:Y,2,'2-3-6. Travel Costs&amp;CoS&amp;EC'!X:X,"&lt;&gt;Error")</f>
        <v>0</v>
      </c>
      <c r="F118" s="182">
        <f>SUMIFS('2-3-6. Travel Costs&amp;CoS&amp;EC'!V:V,'2-3-6. Travel Costs&amp;CoS&amp;EC'!C:C,B118,'2-3-6. Travel Costs&amp;CoS&amp;EC'!I:I,$D$63,'2-3-6. Travel Costs&amp;CoS&amp;EC'!X:X,"&lt;&gt;Error")</f>
        <v>0</v>
      </c>
      <c r="G118" s="182">
        <f>SUMIFS('2-3-6. Travel Costs&amp;CoS&amp;EC'!U:U,'2-3-6. Travel Costs&amp;CoS&amp;EC'!C:C,B118,'2-3-6. Travel Costs&amp;CoS&amp;EC'!I:I,$G$63,'2-3-6. Travel Costs&amp;CoS&amp;EC'!Y:Y,1,'2-3-6. Travel Costs&amp;CoS&amp;EC'!X:X,"&lt;&gt;Error")</f>
        <v>0</v>
      </c>
      <c r="H118" s="182">
        <f>SUMIFS('2-3-6. Travel Costs&amp;CoS&amp;EC'!U:U,'2-3-6. Travel Costs&amp;CoS&amp;EC'!C:C,B118,'2-3-6. Travel Costs&amp;CoS&amp;EC'!I:I,$G$63,'2-3-6. Travel Costs&amp;CoS&amp;EC'!Y:Y,2,'2-3-6. Travel Costs&amp;CoS&amp;EC'!X:X,"&lt;&gt;Error")</f>
        <v>0</v>
      </c>
      <c r="I118" s="182">
        <f>SUMIFS('2-3-6. Travel Costs&amp;CoS&amp;EC'!V:V,'2-3-6. Travel Costs&amp;CoS&amp;EC'!C:C,B118,'2-3-6. Travel Costs&amp;CoS&amp;EC'!I:I,$G$63,'2-3-6. Travel Costs&amp;CoS&amp;EC'!X:X,"&lt;&gt;Error")</f>
        <v>0</v>
      </c>
      <c r="J118" s="183">
        <f t="shared" si="3"/>
        <v>0</v>
      </c>
      <c r="K118" s="183">
        <f t="shared" si="4"/>
        <v>0</v>
      </c>
      <c r="L118" s="183">
        <f t="shared" si="5"/>
        <v>0</v>
      </c>
      <c r="M118" s="183">
        <f t="shared" si="6"/>
        <v>0</v>
      </c>
    </row>
    <row r="119" spans="2:13" x14ac:dyDescent="0.4">
      <c r="B119" s="208" t="s">
        <v>150</v>
      </c>
      <c r="C119" s="208" t="str">
        <f>IF('Final financial statement'!E77=0,"",'Final financial statement'!E77)</f>
        <v/>
      </c>
      <c r="D119" s="182">
        <f>SUMIFS('2-3-6. Travel Costs&amp;CoS&amp;EC'!U:U,'2-3-6. Travel Costs&amp;CoS&amp;EC'!C:C,B119,'2-3-6. Travel Costs&amp;CoS&amp;EC'!I:I,$D$63,'2-3-6. Travel Costs&amp;CoS&amp;EC'!Y:Y,1,'2-3-6. Travel Costs&amp;CoS&amp;EC'!X:X,"&lt;&gt;Error")</f>
        <v>0</v>
      </c>
      <c r="E119" s="182">
        <f>SUMIFS('2-3-6. Travel Costs&amp;CoS&amp;EC'!U:U,'2-3-6. Travel Costs&amp;CoS&amp;EC'!C:C,B119,'2-3-6. Travel Costs&amp;CoS&amp;EC'!I:I,$D$63,'2-3-6. Travel Costs&amp;CoS&amp;EC'!Y:Y,2,'2-3-6. Travel Costs&amp;CoS&amp;EC'!X:X,"&lt;&gt;Error")</f>
        <v>0</v>
      </c>
      <c r="F119" s="182">
        <f>SUMIFS('2-3-6. Travel Costs&amp;CoS&amp;EC'!V:V,'2-3-6. Travel Costs&amp;CoS&amp;EC'!C:C,B119,'2-3-6. Travel Costs&amp;CoS&amp;EC'!I:I,$D$63,'2-3-6. Travel Costs&amp;CoS&amp;EC'!X:X,"&lt;&gt;Error")</f>
        <v>0</v>
      </c>
      <c r="G119" s="182">
        <f>SUMIFS('2-3-6. Travel Costs&amp;CoS&amp;EC'!U:U,'2-3-6. Travel Costs&amp;CoS&amp;EC'!C:C,B119,'2-3-6. Travel Costs&amp;CoS&amp;EC'!I:I,$G$63,'2-3-6. Travel Costs&amp;CoS&amp;EC'!Y:Y,1,'2-3-6. Travel Costs&amp;CoS&amp;EC'!X:X,"&lt;&gt;Error")</f>
        <v>0</v>
      </c>
      <c r="H119" s="182">
        <f>SUMIFS('2-3-6. Travel Costs&amp;CoS&amp;EC'!U:U,'2-3-6. Travel Costs&amp;CoS&amp;EC'!C:C,B119,'2-3-6. Travel Costs&amp;CoS&amp;EC'!I:I,$G$63,'2-3-6. Travel Costs&amp;CoS&amp;EC'!Y:Y,2,'2-3-6. Travel Costs&amp;CoS&amp;EC'!X:X,"&lt;&gt;Error")</f>
        <v>0</v>
      </c>
      <c r="I119" s="182">
        <f>SUMIFS('2-3-6. Travel Costs&amp;CoS&amp;EC'!V:V,'2-3-6. Travel Costs&amp;CoS&amp;EC'!C:C,B119,'2-3-6. Travel Costs&amp;CoS&amp;EC'!I:I,$G$63,'2-3-6. Travel Costs&amp;CoS&amp;EC'!X:X,"&lt;&gt;Error")</f>
        <v>0</v>
      </c>
      <c r="J119" s="183">
        <f t="shared" si="3"/>
        <v>0</v>
      </c>
      <c r="K119" s="183">
        <f t="shared" si="4"/>
        <v>0</v>
      </c>
      <c r="L119" s="183">
        <f t="shared" si="5"/>
        <v>0</v>
      </c>
      <c r="M119" s="183">
        <f t="shared" si="6"/>
        <v>0</v>
      </c>
    </row>
    <row r="120" spans="2:13" x14ac:dyDescent="0.4">
      <c r="B120" s="350" t="s">
        <v>376</v>
      </c>
      <c r="C120" s="350"/>
      <c r="D120" s="183">
        <f t="shared" ref="D120:L120" si="7">SUM(D65:D119)</f>
        <v>0</v>
      </c>
      <c r="E120" s="183">
        <f t="shared" si="7"/>
        <v>0</v>
      </c>
      <c r="F120" s="183">
        <f t="shared" si="7"/>
        <v>0</v>
      </c>
      <c r="G120" s="183">
        <f t="shared" si="7"/>
        <v>0</v>
      </c>
      <c r="H120" s="183">
        <f t="shared" si="7"/>
        <v>0</v>
      </c>
      <c r="I120" s="183">
        <f t="shared" si="7"/>
        <v>0</v>
      </c>
      <c r="J120" s="183">
        <f t="shared" si="7"/>
        <v>0</v>
      </c>
      <c r="K120" s="183">
        <f t="shared" si="7"/>
        <v>0</v>
      </c>
      <c r="L120" s="183">
        <f t="shared" si="7"/>
        <v>0</v>
      </c>
      <c r="M120" s="183">
        <f>SUM(M65:M119)</f>
        <v>0</v>
      </c>
    </row>
  </sheetData>
  <sheetProtection algorithmName="SHA-512" hashValue="HxJmZKl+s+1RACw7hj3bSc9foM2/hnxbJPLDWp2DERPaqIIfaUJbuOeIxmgAlIzC4WdZ9S9a6VG1wokQ0zxWJA==" saltValue="T9fSJBVi5lV9iKlewdfT8w==" spinCount="100000" sheet="1" selectLockedCells="1" selectUnlockedCells="1"/>
  <dataConsolidate/>
  <mergeCells count="20">
    <mergeCell ref="B120:C120"/>
    <mergeCell ref="G63:I63"/>
    <mergeCell ref="J3:K3"/>
    <mergeCell ref="H3:I3"/>
    <mergeCell ref="F3:G3"/>
    <mergeCell ref="D3:E3"/>
    <mergeCell ref="B3:B4"/>
    <mergeCell ref="B60:C60"/>
    <mergeCell ref="B63:B64"/>
    <mergeCell ref="C63:C64"/>
    <mergeCell ref="B62:M62"/>
    <mergeCell ref="M3:M4"/>
    <mergeCell ref="L3:L4"/>
    <mergeCell ref="C3:C4"/>
    <mergeCell ref="B2:M2"/>
    <mergeCell ref="D63:F63"/>
    <mergeCell ref="L63:L64"/>
    <mergeCell ref="J63:J64"/>
    <mergeCell ref="K63:K64"/>
    <mergeCell ref="M63:M64"/>
  </mergeCells>
  <conditionalFormatting sqref="B2">
    <cfRule type="cellIs" dxfId="5" priority="8" stopIfTrue="1" operator="equal">
      <formula>"&gt; 30 %"</formula>
    </cfRule>
  </conditionalFormatting>
  <conditionalFormatting sqref="L3">
    <cfRule type="cellIs" dxfId="4" priority="4" stopIfTrue="1" operator="equal">
      <formula>"ERROR"</formula>
    </cfRule>
  </conditionalFormatting>
  <conditionalFormatting sqref="M3">
    <cfRule type="cellIs" dxfId="3" priority="6" stopIfTrue="1" operator="equal">
      <formula>"ERROR"</formula>
    </cfRule>
  </conditionalFormatting>
  <conditionalFormatting sqref="L63">
    <cfRule type="cellIs" dxfId="2" priority="2" stopIfTrue="1" operator="equal">
      <formula>"ERROR"</formula>
    </cfRule>
  </conditionalFormatting>
  <conditionalFormatting sqref="B62">
    <cfRule type="cellIs" dxfId="1" priority="3" stopIfTrue="1" operator="equal">
      <formula>"&gt; 30 %"</formula>
    </cfRule>
  </conditionalFormatting>
  <conditionalFormatting sqref="M63">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32" orientation="portrait" r:id="rId1"/>
  <headerFooter>
    <oddFooter xml:space="preserve">&amp;CPage &amp;P of 3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79"/>
  <sheetViews>
    <sheetView showGridLines="0" topLeftCell="XFD1" zoomScale="85" zoomScaleNormal="85" workbookViewId="0">
      <selection sqref="A1:XFD1048576"/>
    </sheetView>
  </sheetViews>
  <sheetFormatPr baseColWidth="10" defaultColWidth="0" defaultRowHeight="14.5" x14ac:dyDescent="0.35"/>
  <cols>
    <col min="1" max="1" width="21.7265625" style="4" hidden="1" customWidth="1"/>
    <col min="2" max="2" width="21.7265625" style="3" hidden="1" customWidth="1"/>
    <col min="3" max="10" width="21.7265625" style="1" hidden="1" customWidth="1"/>
    <col min="11" max="11" width="21.7265625" style="35" hidden="1" customWidth="1"/>
    <col min="12" max="16384" width="21.7265625" style="1" hidden="1"/>
  </cols>
  <sheetData>
    <row r="1" spans="2:10" ht="10" customHeight="1" x14ac:dyDescent="0.35"/>
    <row r="2" spans="2:10" ht="82.5" customHeight="1" x14ac:dyDescent="0.35">
      <c r="B2" s="31" t="s">
        <v>373</v>
      </c>
      <c r="C2" s="31" t="s">
        <v>0</v>
      </c>
      <c r="D2" s="31" t="s">
        <v>158</v>
      </c>
      <c r="E2" s="31" t="s">
        <v>127</v>
      </c>
      <c r="F2" s="65" t="s">
        <v>126</v>
      </c>
      <c r="G2" s="31" t="s">
        <v>194</v>
      </c>
      <c r="H2" s="65" t="s">
        <v>193</v>
      </c>
      <c r="J2" s="31" t="s">
        <v>188</v>
      </c>
    </row>
    <row r="3" spans="2:10" x14ac:dyDescent="0.35">
      <c r="B3" s="32">
        <v>1</v>
      </c>
      <c r="C3" s="33" t="s">
        <v>1</v>
      </c>
      <c r="D3" s="33" t="s">
        <v>173</v>
      </c>
      <c r="E3" s="34">
        <v>294</v>
      </c>
      <c r="F3" s="34">
        <v>241</v>
      </c>
      <c r="G3" s="34">
        <v>190</v>
      </c>
      <c r="H3" s="34">
        <v>157</v>
      </c>
      <c r="J3" s="21" t="s">
        <v>156</v>
      </c>
    </row>
    <row r="4" spans="2:10" x14ac:dyDescent="0.35">
      <c r="B4" s="36">
        <v>2</v>
      </c>
      <c r="C4" s="37" t="s">
        <v>2</v>
      </c>
      <c r="D4" s="37" t="s">
        <v>173</v>
      </c>
      <c r="E4" s="38">
        <v>280</v>
      </c>
      <c r="F4" s="38">
        <v>214</v>
      </c>
      <c r="G4" s="38">
        <v>162</v>
      </c>
      <c r="H4" s="38">
        <v>131</v>
      </c>
      <c r="J4" s="21" t="s">
        <v>155</v>
      </c>
    </row>
    <row r="5" spans="2:10" x14ac:dyDescent="0.35">
      <c r="B5" s="42">
        <v>3</v>
      </c>
      <c r="C5" s="43" t="s">
        <v>4</v>
      </c>
      <c r="D5" s="43" t="s">
        <v>173</v>
      </c>
      <c r="E5" s="44">
        <v>88</v>
      </c>
      <c r="F5" s="44">
        <v>74</v>
      </c>
      <c r="G5" s="44">
        <v>55</v>
      </c>
      <c r="H5" s="44">
        <v>39</v>
      </c>
      <c r="J5" s="21" t="s">
        <v>195</v>
      </c>
    </row>
    <row r="6" spans="2:10" x14ac:dyDescent="0.35">
      <c r="B6" s="42">
        <v>4</v>
      </c>
      <c r="C6" s="43" t="s">
        <v>43</v>
      </c>
      <c r="D6" s="43" t="s">
        <v>173</v>
      </c>
      <c r="E6" s="44">
        <v>88</v>
      </c>
      <c r="F6" s="44">
        <v>74</v>
      </c>
      <c r="G6" s="44">
        <v>55</v>
      </c>
      <c r="H6" s="44">
        <v>39</v>
      </c>
      <c r="J6" s="21" t="s">
        <v>196</v>
      </c>
    </row>
    <row r="7" spans="2:10" x14ac:dyDescent="0.35">
      <c r="B7" s="39">
        <v>5</v>
      </c>
      <c r="C7" s="40" t="s">
        <v>3</v>
      </c>
      <c r="D7" s="40" t="s">
        <v>173</v>
      </c>
      <c r="E7" s="41">
        <v>164</v>
      </c>
      <c r="F7" s="41">
        <v>137</v>
      </c>
      <c r="G7" s="41">
        <v>102</v>
      </c>
      <c r="H7" s="41">
        <v>78</v>
      </c>
      <c r="J7" s="21" t="s">
        <v>157</v>
      </c>
    </row>
    <row r="8" spans="2:10" x14ac:dyDescent="0.35">
      <c r="B8" s="39">
        <v>6</v>
      </c>
      <c r="C8" s="40" t="s">
        <v>37</v>
      </c>
      <c r="D8" s="40" t="s">
        <v>173</v>
      </c>
      <c r="E8" s="41">
        <v>164</v>
      </c>
      <c r="F8" s="41">
        <v>137</v>
      </c>
      <c r="G8" s="41">
        <v>102</v>
      </c>
      <c r="H8" s="41">
        <v>78</v>
      </c>
      <c r="J8" s="4"/>
    </row>
    <row r="9" spans="2:10" x14ac:dyDescent="0.35">
      <c r="B9" s="32">
        <v>7</v>
      </c>
      <c r="C9" s="33" t="s">
        <v>25</v>
      </c>
      <c r="D9" s="33" t="s">
        <v>173</v>
      </c>
      <c r="E9" s="34">
        <v>294</v>
      </c>
      <c r="F9" s="34">
        <v>241</v>
      </c>
      <c r="G9" s="34">
        <v>190</v>
      </c>
      <c r="H9" s="34">
        <v>157</v>
      </c>
      <c r="J9" s="65" t="s">
        <v>189</v>
      </c>
    </row>
    <row r="10" spans="2:10" x14ac:dyDescent="0.35">
      <c r="B10" s="42">
        <v>8</v>
      </c>
      <c r="C10" s="43" t="s">
        <v>44</v>
      </c>
      <c r="D10" s="43" t="s">
        <v>173</v>
      </c>
      <c r="E10" s="44">
        <v>88</v>
      </c>
      <c r="F10" s="44">
        <v>74</v>
      </c>
      <c r="G10" s="44">
        <v>55</v>
      </c>
      <c r="H10" s="44">
        <v>39</v>
      </c>
      <c r="J10" s="2" t="s">
        <v>182</v>
      </c>
    </row>
    <row r="11" spans="2:10" x14ac:dyDescent="0.35">
      <c r="B11" s="36">
        <v>9</v>
      </c>
      <c r="C11" s="37" t="s">
        <v>31</v>
      </c>
      <c r="D11" s="37" t="s">
        <v>173</v>
      </c>
      <c r="E11" s="38">
        <v>280</v>
      </c>
      <c r="F11" s="38">
        <v>214</v>
      </c>
      <c r="G11" s="38">
        <v>162</v>
      </c>
      <c r="H11" s="38">
        <v>131</v>
      </c>
      <c r="J11" s="2" t="s">
        <v>181</v>
      </c>
    </row>
    <row r="12" spans="2:10" x14ac:dyDescent="0.35">
      <c r="B12" s="42">
        <v>10</v>
      </c>
      <c r="C12" s="43" t="s">
        <v>186</v>
      </c>
      <c r="D12" s="43" t="s">
        <v>173</v>
      </c>
      <c r="E12" s="44">
        <v>88</v>
      </c>
      <c r="F12" s="44">
        <v>74</v>
      </c>
      <c r="G12" s="44">
        <v>55</v>
      </c>
      <c r="H12" s="44">
        <v>39</v>
      </c>
    </row>
    <row r="13" spans="2:10" x14ac:dyDescent="0.35">
      <c r="B13" s="36">
        <v>11</v>
      </c>
      <c r="C13" s="37" t="s">
        <v>32</v>
      </c>
      <c r="D13" s="37" t="s">
        <v>173</v>
      </c>
      <c r="E13" s="38">
        <v>280</v>
      </c>
      <c r="F13" s="38">
        <v>214</v>
      </c>
      <c r="G13" s="38">
        <v>162</v>
      </c>
      <c r="H13" s="38">
        <v>131</v>
      </c>
      <c r="J13" s="31" t="s">
        <v>202</v>
      </c>
    </row>
    <row r="14" spans="2:10" x14ac:dyDescent="0.35">
      <c r="B14" s="36">
        <v>12</v>
      </c>
      <c r="C14" s="37" t="s">
        <v>33</v>
      </c>
      <c r="D14" s="37" t="s">
        <v>173</v>
      </c>
      <c r="E14" s="38">
        <v>280</v>
      </c>
      <c r="F14" s="38">
        <v>214</v>
      </c>
      <c r="G14" s="38">
        <v>162</v>
      </c>
      <c r="H14" s="38">
        <v>131</v>
      </c>
      <c r="J14" s="21" t="s">
        <v>152</v>
      </c>
    </row>
    <row r="15" spans="2:10" x14ac:dyDescent="0.35">
      <c r="B15" s="39">
        <v>13</v>
      </c>
      <c r="C15" s="40" t="s">
        <v>38</v>
      </c>
      <c r="D15" s="40" t="s">
        <v>173</v>
      </c>
      <c r="E15" s="41">
        <v>164</v>
      </c>
      <c r="F15" s="41">
        <v>137</v>
      </c>
      <c r="G15" s="41">
        <v>102</v>
      </c>
      <c r="H15" s="41">
        <v>78</v>
      </c>
      <c r="J15" s="21" t="s">
        <v>165</v>
      </c>
    </row>
    <row r="16" spans="2:10" x14ac:dyDescent="0.35">
      <c r="B16" s="42">
        <v>14</v>
      </c>
      <c r="C16" s="43" t="s">
        <v>45</v>
      </c>
      <c r="D16" s="43" t="s">
        <v>173</v>
      </c>
      <c r="E16" s="44">
        <v>88</v>
      </c>
      <c r="F16" s="44">
        <v>74</v>
      </c>
      <c r="G16" s="44">
        <v>55</v>
      </c>
      <c r="H16" s="44">
        <v>39</v>
      </c>
      <c r="J16" s="21" t="s">
        <v>166</v>
      </c>
    </row>
    <row r="17" spans="1:19" x14ac:dyDescent="0.35">
      <c r="B17" s="36">
        <v>15</v>
      </c>
      <c r="C17" s="37" t="s">
        <v>34</v>
      </c>
      <c r="D17" s="37" t="s">
        <v>173</v>
      </c>
      <c r="E17" s="38">
        <v>280</v>
      </c>
      <c r="F17" s="38">
        <v>214</v>
      </c>
      <c r="G17" s="38">
        <v>162</v>
      </c>
      <c r="H17" s="38">
        <v>131</v>
      </c>
      <c r="J17" s="21" t="s">
        <v>163</v>
      </c>
    </row>
    <row r="18" spans="1:19" x14ac:dyDescent="0.35">
      <c r="B18" s="32">
        <v>16</v>
      </c>
      <c r="C18" s="33" t="s">
        <v>26</v>
      </c>
      <c r="D18" s="33" t="s">
        <v>173</v>
      </c>
      <c r="E18" s="34">
        <v>294</v>
      </c>
      <c r="F18" s="34">
        <v>241</v>
      </c>
      <c r="G18" s="34">
        <v>190</v>
      </c>
      <c r="H18" s="34">
        <v>157</v>
      </c>
      <c r="J18" s="21" t="s">
        <v>164</v>
      </c>
    </row>
    <row r="19" spans="1:19" x14ac:dyDescent="0.35">
      <c r="B19" s="36">
        <v>17</v>
      </c>
      <c r="C19" s="37" t="s">
        <v>35</v>
      </c>
      <c r="D19" s="37" t="s">
        <v>173</v>
      </c>
      <c r="E19" s="38">
        <v>280</v>
      </c>
      <c r="F19" s="38">
        <v>214</v>
      </c>
      <c r="G19" s="38">
        <v>162</v>
      </c>
      <c r="H19" s="38">
        <v>131</v>
      </c>
      <c r="J19" s="21" t="s">
        <v>368</v>
      </c>
    </row>
    <row r="20" spans="1:19" x14ac:dyDescent="0.35">
      <c r="B20" s="42">
        <v>18</v>
      </c>
      <c r="C20" s="43" t="s">
        <v>46</v>
      </c>
      <c r="D20" s="43" t="s">
        <v>173</v>
      </c>
      <c r="E20" s="44">
        <v>88</v>
      </c>
      <c r="F20" s="44">
        <v>74</v>
      </c>
      <c r="G20" s="44">
        <v>55</v>
      </c>
      <c r="H20" s="44">
        <v>39</v>
      </c>
      <c r="J20" s="21" t="s">
        <v>211</v>
      </c>
    </row>
    <row r="21" spans="1:19" x14ac:dyDescent="0.35">
      <c r="B21" s="32">
        <v>19</v>
      </c>
      <c r="C21" s="33" t="s">
        <v>27</v>
      </c>
      <c r="D21" s="33" t="s">
        <v>173</v>
      </c>
      <c r="E21" s="34">
        <v>294</v>
      </c>
      <c r="F21" s="34">
        <v>241</v>
      </c>
      <c r="G21" s="34">
        <v>190</v>
      </c>
      <c r="H21" s="34">
        <v>157</v>
      </c>
    </row>
    <row r="22" spans="1:19" x14ac:dyDescent="0.35">
      <c r="B22" s="42">
        <v>20</v>
      </c>
      <c r="C22" s="43" t="s">
        <v>47</v>
      </c>
      <c r="D22" s="43" t="s">
        <v>173</v>
      </c>
      <c r="E22" s="44">
        <v>88</v>
      </c>
      <c r="F22" s="44">
        <v>74</v>
      </c>
      <c r="G22" s="44">
        <v>55</v>
      </c>
      <c r="H22" s="44">
        <v>39</v>
      </c>
      <c r="J22" s="31" t="s">
        <v>181</v>
      </c>
    </row>
    <row r="23" spans="1:19" x14ac:dyDescent="0.35">
      <c r="B23" s="32">
        <v>21</v>
      </c>
      <c r="C23" s="33" t="s">
        <v>130</v>
      </c>
      <c r="D23" s="33" t="s">
        <v>173</v>
      </c>
      <c r="E23" s="34">
        <v>294</v>
      </c>
      <c r="F23" s="34">
        <v>241</v>
      </c>
      <c r="G23" s="34">
        <v>190</v>
      </c>
      <c r="H23" s="34">
        <v>157</v>
      </c>
      <c r="J23" s="150" t="s">
        <v>383</v>
      </c>
    </row>
    <row r="24" spans="1:19" x14ac:dyDescent="0.35">
      <c r="B24" s="39">
        <v>22</v>
      </c>
      <c r="C24" s="40" t="s">
        <v>39</v>
      </c>
      <c r="D24" s="40" t="s">
        <v>173</v>
      </c>
      <c r="E24" s="41">
        <v>164</v>
      </c>
      <c r="F24" s="41">
        <v>137</v>
      </c>
      <c r="G24" s="41">
        <v>102</v>
      </c>
      <c r="H24" s="41">
        <v>78</v>
      </c>
      <c r="J24" s="150" t="s">
        <v>384</v>
      </c>
    </row>
    <row r="25" spans="1:19" s="35" customFormat="1" x14ac:dyDescent="0.35">
      <c r="A25" s="4"/>
      <c r="B25" s="32">
        <v>23</v>
      </c>
      <c r="C25" s="33" t="s">
        <v>28</v>
      </c>
      <c r="D25" s="33" t="s">
        <v>173</v>
      </c>
      <c r="E25" s="34">
        <v>294</v>
      </c>
      <c r="F25" s="34">
        <v>241</v>
      </c>
      <c r="G25" s="34">
        <v>190</v>
      </c>
      <c r="H25" s="34">
        <v>157</v>
      </c>
      <c r="J25" s="150" t="s">
        <v>385</v>
      </c>
      <c r="L25" s="1"/>
      <c r="M25" s="1"/>
      <c r="N25" s="1"/>
      <c r="P25" s="1"/>
      <c r="Q25" s="1"/>
      <c r="R25" s="1"/>
      <c r="S25" s="1"/>
    </row>
    <row r="26" spans="1:19" x14ac:dyDescent="0.35">
      <c r="B26" s="32">
        <v>24</v>
      </c>
      <c r="C26" s="33" t="s">
        <v>29</v>
      </c>
      <c r="D26" s="33" t="s">
        <v>173</v>
      </c>
      <c r="E26" s="34">
        <v>294</v>
      </c>
      <c r="F26" s="34">
        <v>241</v>
      </c>
      <c r="G26" s="34">
        <v>190</v>
      </c>
      <c r="H26" s="34">
        <v>157</v>
      </c>
      <c r="J26" s="151" t="s">
        <v>386</v>
      </c>
    </row>
    <row r="27" spans="1:19" x14ac:dyDescent="0.35">
      <c r="B27" s="42">
        <v>25</v>
      </c>
      <c r="C27" s="43" t="s">
        <v>48</v>
      </c>
      <c r="D27" s="43" t="s">
        <v>173</v>
      </c>
      <c r="E27" s="44">
        <v>88</v>
      </c>
      <c r="F27" s="44">
        <v>74</v>
      </c>
      <c r="G27" s="44">
        <v>55</v>
      </c>
      <c r="H27" s="44">
        <v>39</v>
      </c>
      <c r="J27" s="150" t="s">
        <v>387</v>
      </c>
    </row>
    <row r="28" spans="1:19" x14ac:dyDescent="0.35">
      <c r="B28" s="39">
        <v>26</v>
      </c>
      <c r="C28" s="40" t="s">
        <v>40</v>
      </c>
      <c r="D28" s="40" t="s">
        <v>173</v>
      </c>
      <c r="E28" s="41">
        <v>164</v>
      </c>
      <c r="F28" s="41">
        <v>137</v>
      </c>
      <c r="G28" s="41">
        <v>102</v>
      </c>
      <c r="H28" s="41">
        <v>78</v>
      </c>
      <c r="J28" s="150" t="s">
        <v>388</v>
      </c>
    </row>
    <row r="29" spans="1:19" x14ac:dyDescent="0.35">
      <c r="B29" s="42">
        <v>27</v>
      </c>
      <c r="C29" s="43" t="s">
        <v>49</v>
      </c>
      <c r="D29" s="43" t="s">
        <v>173</v>
      </c>
      <c r="E29" s="44">
        <v>88</v>
      </c>
      <c r="F29" s="44">
        <v>74</v>
      </c>
      <c r="G29" s="44">
        <v>55</v>
      </c>
      <c r="H29" s="44">
        <v>39</v>
      </c>
    </row>
    <row r="30" spans="1:19" x14ac:dyDescent="0.35">
      <c r="B30" s="42">
        <v>28</v>
      </c>
      <c r="C30" s="43" t="s">
        <v>95</v>
      </c>
      <c r="D30" s="43" t="s">
        <v>173</v>
      </c>
      <c r="E30" s="44">
        <v>88</v>
      </c>
      <c r="F30" s="44">
        <v>74</v>
      </c>
      <c r="G30" s="44">
        <v>55</v>
      </c>
      <c r="H30" s="44">
        <v>39</v>
      </c>
      <c r="J30" s="31" t="s">
        <v>182</v>
      </c>
    </row>
    <row r="31" spans="1:19" x14ac:dyDescent="0.35">
      <c r="B31" s="42">
        <v>29</v>
      </c>
      <c r="C31" s="43" t="s">
        <v>144</v>
      </c>
      <c r="D31" s="43" t="s">
        <v>173</v>
      </c>
      <c r="E31" s="44">
        <v>88</v>
      </c>
      <c r="F31" s="44">
        <v>74</v>
      </c>
      <c r="G31" s="44">
        <v>55</v>
      </c>
      <c r="H31" s="44">
        <v>39</v>
      </c>
      <c r="J31" s="150" t="s">
        <v>389</v>
      </c>
    </row>
    <row r="32" spans="1:19" x14ac:dyDescent="0.35">
      <c r="B32" s="39">
        <v>30</v>
      </c>
      <c r="C32" s="40" t="s">
        <v>41</v>
      </c>
      <c r="D32" s="40" t="s">
        <v>173</v>
      </c>
      <c r="E32" s="41">
        <v>164</v>
      </c>
      <c r="F32" s="41">
        <v>137</v>
      </c>
      <c r="G32" s="41">
        <v>102</v>
      </c>
      <c r="H32" s="41">
        <v>78</v>
      </c>
      <c r="J32" s="150" t="s">
        <v>390</v>
      </c>
    </row>
    <row r="33" spans="2:11" x14ac:dyDescent="0.35">
      <c r="B33" s="39">
        <v>31</v>
      </c>
      <c r="C33" s="40" t="s">
        <v>42</v>
      </c>
      <c r="D33" s="40" t="s">
        <v>173</v>
      </c>
      <c r="E33" s="41">
        <v>164</v>
      </c>
      <c r="F33" s="41">
        <v>137</v>
      </c>
      <c r="G33" s="41">
        <v>102</v>
      </c>
      <c r="H33" s="41">
        <v>78</v>
      </c>
      <c r="J33" s="150" t="s">
        <v>391</v>
      </c>
    </row>
    <row r="34" spans="2:11" x14ac:dyDescent="0.35">
      <c r="B34" s="32">
        <v>32</v>
      </c>
      <c r="C34" s="33" t="s">
        <v>30</v>
      </c>
      <c r="D34" s="33" t="s">
        <v>173</v>
      </c>
      <c r="E34" s="34">
        <v>294</v>
      </c>
      <c r="F34" s="34">
        <v>241</v>
      </c>
      <c r="G34" s="34">
        <v>190</v>
      </c>
      <c r="H34" s="34">
        <v>157</v>
      </c>
      <c r="J34" s="150" t="s">
        <v>392</v>
      </c>
    </row>
    <row r="35" spans="2:11" x14ac:dyDescent="0.35">
      <c r="B35" s="42">
        <v>33</v>
      </c>
      <c r="C35" s="43" t="s">
        <v>50</v>
      </c>
      <c r="D35" s="43" t="s">
        <v>173</v>
      </c>
      <c r="E35" s="44">
        <v>88</v>
      </c>
      <c r="F35" s="44">
        <v>74</v>
      </c>
      <c r="G35" s="44">
        <v>55</v>
      </c>
      <c r="H35" s="44">
        <v>39</v>
      </c>
    </row>
    <row r="36" spans="2:11" x14ac:dyDescent="0.35">
      <c r="B36" s="36">
        <v>34</v>
      </c>
      <c r="C36" s="37" t="s">
        <v>36</v>
      </c>
      <c r="D36" s="37" t="s">
        <v>173</v>
      </c>
      <c r="E36" s="38">
        <v>280</v>
      </c>
      <c r="F36" s="38">
        <v>214</v>
      </c>
      <c r="G36" s="38">
        <v>162</v>
      </c>
      <c r="H36" s="38">
        <v>131</v>
      </c>
      <c r="J36" s="31" t="s">
        <v>414</v>
      </c>
    </row>
    <row r="37" spans="2:11" x14ac:dyDescent="0.35">
      <c r="B37" s="51">
        <v>35</v>
      </c>
      <c r="C37" s="52" t="s">
        <v>5</v>
      </c>
      <c r="D37" s="52" t="s">
        <v>174</v>
      </c>
      <c r="E37" s="53">
        <v>77</v>
      </c>
      <c r="F37" s="53">
        <v>57</v>
      </c>
      <c r="G37" s="53">
        <v>40</v>
      </c>
      <c r="H37" s="53">
        <v>32</v>
      </c>
      <c r="J37" s="150" t="s">
        <v>471</v>
      </c>
    </row>
    <row r="38" spans="2:11" x14ac:dyDescent="0.35">
      <c r="B38" s="48">
        <v>36</v>
      </c>
      <c r="C38" s="49" t="s">
        <v>52</v>
      </c>
      <c r="D38" s="49" t="s">
        <v>174</v>
      </c>
      <c r="E38" s="50">
        <v>108</v>
      </c>
      <c r="F38" s="50">
        <v>80</v>
      </c>
      <c r="G38" s="50">
        <v>57</v>
      </c>
      <c r="H38" s="50">
        <v>45</v>
      </c>
      <c r="J38" s="150" t="s">
        <v>415</v>
      </c>
    </row>
    <row r="39" spans="2:11" x14ac:dyDescent="0.35">
      <c r="B39" s="54">
        <v>37</v>
      </c>
      <c r="C39" s="55" t="s">
        <v>53</v>
      </c>
      <c r="D39" s="55" t="s">
        <v>174</v>
      </c>
      <c r="E39" s="56">
        <v>47</v>
      </c>
      <c r="F39" s="56">
        <v>33</v>
      </c>
      <c r="G39" s="56">
        <v>22</v>
      </c>
      <c r="H39" s="56">
        <v>17</v>
      </c>
      <c r="J39" s="150" t="s">
        <v>416</v>
      </c>
      <c r="K39" s="172"/>
    </row>
    <row r="40" spans="2:11" x14ac:dyDescent="0.35">
      <c r="B40" s="48">
        <v>38</v>
      </c>
      <c r="C40" s="50" t="s">
        <v>289</v>
      </c>
      <c r="D40" s="50" t="s">
        <v>174</v>
      </c>
      <c r="E40" s="50">
        <v>108</v>
      </c>
      <c r="F40" s="50">
        <v>80</v>
      </c>
      <c r="G40" s="50">
        <v>57</v>
      </c>
      <c r="H40" s="50">
        <v>45</v>
      </c>
      <c r="J40" s="150" t="s">
        <v>417</v>
      </c>
      <c r="K40" s="172"/>
    </row>
    <row r="41" spans="2:11" x14ac:dyDescent="0.35">
      <c r="B41" s="48">
        <v>39</v>
      </c>
      <c r="C41" s="50" t="s">
        <v>290</v>
      </c>
      <c r="D41" s="50" t="s">
        <v>174</v>
      </c>
      <c r="E41" s="50">
        <v>108</v>
      </c>
      <c r="F41" s="50">
        <v>80</v>
      </c>
      <c r="G41" s="50">
        <v>57</v>
      </c>
      <c r="H41" s="50">
        <v>45</v>
      </c>
      <c r="J41" s="150" t="s">
        <v>418</v>
      </c>
      <c r="K41" s="172"/>
    </row>
    <row r="42" spans="2:11" x14ac:dyDescent="0.35">
      <c r="B42" s="48">
        <v>40</v>
      </c>
      <c r="C42" s="49" t="s">
        <v>54</v>
      </c>
      <c r="D42" s="49" t="s">
        <v>174</v>
      </c>
      <c r="E42" s="50">
        <v>108</v>
      </c>
      <c r="F42" s="50">
        <v>80</v>
      </c>
      <c r="G42" s="50">
        <v>57</v>
      </c>
      <c r="H42" s="50">
        <v>45</v>
      </c>
      <c r="J42" s="150" t="s">
        <v>419</v>
      </c>
      <c r="K42" s="172"/>
    </row>
    <row r="43" spans="2:11" x14ac:dyDescent="0.35">
      <c r="B43" s="54">
        <v>41</v>
      </c>
      <c r="C43" s="55" t="s">
        <v>55</v>
      </c>
      <c r="D43" s="55" t="s">
        <v>174</v>
      </c>
      <c r="E43" s="56">
        <v>47</v>
      </c>
      <c r="F43" s="56">
        <v>33</v>
      </c>
      <c r="G43" s="56">
        <v>22</v>
      </c>
      <c r="H43" s="56">
        <v>17</v>
      </c>
      <c r="J43" s="150" t="s">
        <v>420</v>
      </c>
      <c r="K43" s="172"/>
    </row>
    <row r="44" spans="2:11" x14ac:dyDescent="0.35">
      <c r="B44" s="51">
        <v>42</v>
      </c>
      <c r="C44" s="52" t="s">
        <v>56</v>
      </c>
      <c r="D44" s="52" t="s">
        <v>174</v>
      </c>
      <c r="E44" s="53">
        <v>77</v>
      </c>
      <c r="F44" s="53">
        <v>57</v>
      </c>
      <c r="G44" s="53">
        <v>40</v>
      </c>
      <c r="H44" s="53">
        <v>32</v>
      </c>
      <c r="J44" s="150" t="s">
        <v>421</v>
      </c>
      <c r="K44" s="172"/>
    </row>
    <row r="45" spans="2:11" x14ac:dyDescent="0.35">
      <c r="B45" s="51">
        <v>43</v>
      </c>
      <c r="C45" s="53" t="s">
        <v>291</v>
      </c>
      <c r="D45" s="53" t="s">
        <v>174</v>
      </c>
      <c r="E45" s="53">
        <v>77</v>
      </c>
      <c r="F45" s="53">
        <v>57</v>
      </c>
      <c r="G45" s="53">
        <v>40</v>
      </c>
      <c r="H45" s="53">
        <v>32</v>
      </c>
      <c r="J45" s="150" t="s">
        <v>422</v>
      </c>
      <c r="K45" s="172"/>
    </row>
    <row r="46" spans="2:11" x14ac:dyDescent="0.35">
      <c r="B46" s="54">
        <v>44</v>
      </c>
      <c r="C46" s="55" t="s">
        <v>57</v>
      </c>
      <c r="D46" s="55" t="s">
        <v>174</v>
      </c>
      <c r="E46" s="56">
        <v>47</v>
      </c>
      <c r="F46" s="56">
        <v>33</v>
      </c>
      <c r="G46" s="56">
        <v>22</v>
      </c>
      <c r="H46" s="56">
        <v>17</v>
      </c>
      <c r="J46" s="150" t="s">
        <v>423</v>
      </c>
      <c r="K46" s="172"/>
    </row>
    <row r="47" spans="2:11" x14ac:dyDescent="0.35">
      <c r="B47" s="48">
        <v>45</v>
      </c>
      <c r="C47" s="50" t="s">
        <v>292</v>
      </c>
      <c r="D47" s="50" t="s">
        <v>174</v>
      </c>
      <c r="E47" s="50">
        <v>108</v>
      </c>
      <c r="F47" s="50">
        <v>80</v>
      </c>
      <c r="G47" s="50">
        <v>57</v>
      </c>
      <c r="H47" s="50">
        <v>45</v>
      </c>
      <c r="J47" s="150" t="s">
        <v>424</v>
      </c>
      <c r="K47" s="172"/>
    </row>
    <row r="48" spans="2:11" x14ac:dyDescent="0.35">
      <c r="B48" s="54">
        <v>46</v>
      </c>
      <c r="C48" s="55" t="s">
        <v>58</v>
      </c>
      <c r="D48" s="55" t="s">
        <v>174</v>
      </c>
      <c r="E48" s="56">
        <v>47</v>
      </c>
      <c r="F48" s="56">
        <v>33</v>
      </c>
      <c r="G48" s="56">
        <v>22</v>
      </c>
      <c r="H48" s="56">
        <v>17</v>
      </c>
      <c r="J48" s="150" t="s">
        <v>425</v>
      </c>
      <c r="K48" s="172"/>
    </row>
    <row r="49" spans="2:11" x14ac:dyDescent="0.35">
      <c r="B49" s="54">
        <v>47</v>
      </c>
      <c r="C49" s="56" t="s">
        <v>288</v>
      </c>
      <c r="D49" s="56" t="s">
        <v>174</v>
      </c>
      <c r="E49" s="56">
        <v>47</v>
      </c>
      <c r="F49" s="56">
        <v>33</v>
      </c>
      <c r="G49" s="56">
        <v>22</v>
      </c>
      <c r="H49" s="56">
        <v>17</v>
      </c>
      <c r="J49" s="150" t="s">
        <v>426</v>
      </c>
      <c r="K49" s="172"/>
    </row>
    <row r="50" spans="2:11" x14ac:dyDescent="0.35">
      <c r="B50" s="54">
        <v>48</v>
      </c>
      <c r="C50" s="56" t="s">
        <v>293</v>
      </c>
      <c r="D50" s="56" t="s">
        <v>174</v>
      </c>
      <c r="E50" s="56">
        <v>47</v>
      </c>
      <c r="F50" s="56">
        <v>33</v>
      </c>
      <c r="G50" s="56">
        <v>22</v>
      </c>
      <c r="H50" s="56">
        <v>17</v>
      </c>
      <c r="J50" s="150" t="s">
        <v>427</v>
      </c>
      <c r="K50" s="172"/>
    </row>
    <row r="51" spans="2:11" x14ac:dyDescent="0.35">
      <c r="B51" s="54">
        <v>49</v>
      </c>
      <c r="C51" s="55" t="s">
        <v>59</v>
      </c>
      <c r="D51" s="55" t="s">
        <v>174</v>
      </c>
      <c r="E51" s="56">
        <v>47</v>
      </c>
      <c r="F51" s="56">
        <v>33</v>
      </c>
      <c r="G51" s="56">
        <v>22</v>
      </c>
      <c r="H51" s="56">
        <v>17</v>
      </c>
      <c r="J51" s="150" t="s">
        <v>428</v>
      </c>
      <c r="K51" s="172"/>
    </row>
    <row r="52" spans="2:11" x14ac:dyDescent="0.35">
      <c r="B52" s="51">
        <v>50</v>
      </c>
      <c r="C52" s="52" t="s">
        <v>60</v>
      </c>
      <c r="D52" s="52" t="s">
        <v>174</v>
      </c>
      <c r="E52" s="53">
        <v>77</v>
      </c>
      <c r="F52" s="53">
        <v>57</v>
      </c>
      <c r="G52" s="53">
        <v>40</v>
      </c>
      <c r="H52" s="53">
        <v>32</v>
      </c>
      <c r="J52" s="150" t="s">
        <v>429</v>
      </c>
      <c r="K52" s="172"/>
    </row>
    <row r="53" spans="2:11" x14ac:dyDescent="0.35">
      <c r="B53" s="48">
        <v>51</v>
      </c>
      <c r="C53" s="49" t="s">
        <v>61</v>
      </c>
      <c r="D53" s="49" t="s">
        <v>174</v>
      </c>
      <c r="E53" s="50">
        <v>108</v>
      </c>
      <c r="F53" s="50">
        <v>80</v>
      </c>
      <c r="G53" s="50">
        <v>57</v>
      </c>
      <c r="H53" s="50">
        <v>45</v>
      </c>
      <c r="J53" s="150" t="s">
        <v>430</v>
      </c>
      <c r="K53" s="172"/>
    </row>
    <row r="54" spans="2:11" x14ac:dyDescent="0.35">
      <c r="B54" s="54">
        <v>52</v>
      </c>
      <c r="C54" s="56" t="s">
        <v>294</v>
      </c>
      <c r="D54" s="56" t="s">
        <v>174</v>
      </c>
      <c r="E54" s="56">
        <v>47</v>
      </c>
      <c r="F54" s="56">
        <v>33</v>
      </c>
      <c r="G54" s="56">
        <v>22</v>
      </c>
      <c r="H54" s="56">
        <v>17</v>
      </c>
      <c r="J54" s="150" t="s">
        <v>431</v>
      </c>
      <c r="K54" s="172"/>
    </row>
    <row r="55" spans="2:11" x14ac:dyDescent="0.35">
      <c r="B55" s="48">
        <v>53</v>
      </c>
      <c r="C55" s="49" t="s">
        <v>62</v>
      </c>
      <c r="D55" s="49" t="s">
        <v>174</v>
      </c>
      <c r="E55" s="50">
        <v>108</v>
      </c>
      <c r="F55" s="50">
        <v>80</v>
      </c>
      <c r="G55" s="50">
        <v>57</v>
      </c>
      <c r="H55" s="50">
        <v>45</v>
      </c>
      <c r="J55" s="150" t="s">
        <v>432</v>
      </c>
      <c r="K55" s="172"/>
    </row>
    <row r="56" spans="2:11" x14ac:dyDescent="0.35">
      <c r="B56" s="51">
        <v>54</v>
      </c>
      <c r="C56" s="53" t="s">
        <v>295</v>
      </c>
      <c r="D56" s="53" t="s">
        <v>174</v>
      </c>
      <c r="E56" s="53">
        <v>77</v>
      </c>
      <c r="F56" s="53">
        <v>57</v>
      </c>
      <c r="G56" s="53">
        <v>40</v>
      </c>
      <c r="H56" s="53">
        <v>32</v>
      </c>
      <c r="J56" s="150" t="s">
        <v>433</v>
      </c>
      <c r="K56" s="172"/>
    </row>
    <row r="57" spans="2:11" x14ac:dyDescent="0.35">
      <c r="B57" s="54">
        <v>55</v>
      </c>
      <c r="C57" s="56" t="s">
        <v>296</v>
      </c>
      <c r="D57" s="56" t="s">
        <v>174</v>
      </c>
      <c r="E57" s="56">
        <v>47</v>
      </c>
      <c r="F57" s="56">
        <v>33</v>
      </c>
      <c r="G57" s="56">
        <v>22</v>
      </c>
      <c r="H57" s="56">
        <v>17</v>
      </c>
      <c r="J57" s="150" t="s">
        <v>434</v>
      </c>
      <c r="K57" s="172"/>
    </row>
    <row r="58" spans="2:11" x14ac:dyDescent="0.35">
      <c r="B58" s="54">
        <v>56</v>
      </c>
      <c r="C58" s="55" t="s">
        <v>63</v>
      </c>
      <c r="D58" s="55" t="s">
        <v>174</v>
      </c>
      <c r="E58" s="56">
        <v>47</v>
      </c>
      <c r="F58" s="56">
        <v>33</v>
      </c>
      <c r="G58" s="56">
        <v>22</v>
      </c>
      <c r="H58" s="56">
        <v>17</v>
      </c>
      <c r="J58" s="150" t="s">
        <v>435</v>
      </c>
      <c r="K58" s="172"/>
    </row>
    <row r="59" spans="2:11" x14ac:dyDescent="0.35">
      <c r="B59" s="51">
        <v>57</v>
      </c>
      <c r="C59" s="53" t="s">
        <v>297</v>
      </c>
      <c r="D59" s="53" t="s">
        <v>174</v>
      </c>
      <c r="E59" s="53">
        <v>77</v>
      </c>
      <c r="F59" s="53">
        <v>57</v>
      </c>
      <c r="G59" s="53">
        <v>40</v>
      </c>
      <c r="H59" s="53">
        <v>32</v>
      </c>
      <c r="J59" s="150" t="s">
        <v>436</v>
      </c>
      <c r="K59" s="172"/>
    </row>
    <row r="60" spans="2:11" x14ac:dyDescent="0.35">
      <c r="B60" s="54">
        <v>58</v>
      </c>
      <c r="C60" s="56" t="s">
        <v>298</v>
      </c>
      <c r="D60" s="56" t="s">
        <v>174</v>
      </c>
      <c r="E60" s="56">
        <v>47</v>
      </c>
      <c r="F60" s="56">
        <v>33</v>
      </c>
      <c r="G60" s="56">
        <v>22</v>
      </c>
      <c r="H60" s="56">
        <v>17</v>
      </c>
      <c r="J60" s="150" t="s">
        <v>437</v>
      </c>
      <c r="K60" s="172"/>
    </row>
    <row r="61" spans="2:11" x14ac:dyDescent="0.35">
      <c r="B61" s="54">
        <v>59</v>
      </c>
      <c r="C61" s="56" t="s">
        <v>299</v>
      </c>
      <c r="D61" s="56" t="s">
        <v>174</v>
      </c>
      <c r="E61" s="56">
        <v>47</v>
      </c>
      <c r="F61" s="56">
        <v>33</v>
      </c>
      <c r="G61" s="56">
        <v>22</v>
      </c>
      <c r="H61" s="56">
        <v>17</v>
      </c>
      <c r="J61" s="150" t="s">
        <v>438</v>
      </c>
      <c r="K61" s="172"/>
    </row>
    <row r="62" spans="2:11" x14ac:dyDescent="0.35">
      <c r="B62" s="54">
        <v>60</v>
      </c>
      <c r="C62" s="56" t="s">
        <v>300</v>
      </c>
      <c r="D62" s="56" t="s">
        <v>174</v>
      </c>
      <c r="E62" s="56">
        <v>47</v>
      </c>
      <c r="F62" s="56">
        <v>33</v>
      </c>
      <c r="G62" s="56">
        <v>22</v>
      </c>
      <c r="H62" s="56">
        <v>17</v>
      </c>
      <c r="J62" s="150" t="s">
        <v>439</v>
      </c>
      <c r="K62" s="172"/>
    </row>
    <row r="63" spans="2:11" x14ac:dyDescent="0.35">
      <c r="B63" s="51">
        <v>61</v>
      </c>
      <c r="C63" s="52" t="s">
        <v>64</v>
      </c>
      <c r="D63" s="52" t="s">
        <v>174</v>
      </c>
      <c r="E63" s="53">
        <v>77</v>
      </c>
      <c r="F63" s="53">
        <v>57</v>
      </c>
      <c r="G63" s="53">
        <v>40</v>
      </c>
      <c r="H63" s="53">
        <v>32</v>
      </c>
      <c r="J63" s="150" t="s">
        <v>440</v>
      </c>
      <c r="K63" s="172"/>
    </row>
    <row r="64" spans="2:11" x14ac:dyDescent="0.35">
      <c r="B64" s="48">
        <v>62</v>
      </c>
      <c r="C64" s="49" t="s">
        <v>65</v>
      </c>
      <c r="D64" s="49" t="s">
        <v>174</v>
      </c>
      <c r="E64" s="50">
        <v>108</v>
      </c>
      <c r="F64" s="50">
        <v>80</v>
      </c>
      <c r="G64" s="50">
        <v>57</v>
      </c>
      <c r="H64" s="50">
        <v>45</v>
      </c>
      <c r="J64" s="150" t="s">
        <v>441</v>
      </c>
      <c r="K64" s="172"/>
    </row>
    <row r="65" spans="2:11" x14ac:dyDescent="0.35">
      <c r="B65" s="48">
        <v>63</v>
      </c>
      <c r="C65" s="50" t="s">
        <v>301</v>
      </c>
      <c r="D65" s="50" t="s">
        <v>174</v>
      </c>
      <c r="E65" s="50">
        <v>108</v>
      </c>
      <c r="F65" s="50">
        <v>80</v>
      </c>
      <c r="G65" s="50">
        <v>57</v>
      </c>
      <c r="H65" s="50">
        <v>45</v>
      </c>
      <c r="J65" s="150" t="s">
        <v>442</v>
      </c>
      <c r="K65" s="172"/>
    </row>
    <row r="66" spans="2:11" x14ac:dyDescent="0.35">
      <c r="B66" s="51">
        <v>64</v>
      </c>
      <c r="C66" s="53" t="s">
        <v>302</v>
      </c>
      <c r="D66" s="53" t="s">
        <v>174</v>
      </c>
      <c r="E66" s="53">
        <v>77</v>
      </c>
      <c r="F66" s="53">
        <v>57</v>
      </c>
      <c r="G66" s="53">
        <v>40</v>
      </c>
      <c r="H66" s="53">
        <v>32</v>
      </c>
      <c r="J66" s="150" t="s">
        <v>443</v>
      </c>
      <c r="K66" s="172"/>
    </row>
    <row r="67" spans="2:11" x14ac:dyDescent="0.35">
      <c r="B67" s="54">
        <v>65</v>
      </c>
      <c r="C67" s="56" t="s">
        <v>303</v>
      </c>
      <c r="D67" s="56" t="s">
        <v>174</v>
      </c>
      <c r="E67" s="56">
        <v>47</v>
      </c>
      <c r="F67" s="56">
        <v>33</v>
      </c>
      <c r="G67" s="56">
        <v>22</v>
      </c>
      <c r="H67" s="56">
        <v>17</v>
      </c>
      <c r="J67" s="150" t="s">
        <v>444</v>
      </c>
      <c r="K67" s="172"/>
    </row>
    <row r="68" spans="2:11" x14ac:dyDescent="0.35">
      <c r="B68" s="48">
        <v>66</v>
      </c>
      <c r="C68" s="50" t="s">
        <v>304</v>
      </c>
      <c r="D68" s="50" t="s">
        <v>174</v>
      </c>
      <c r="E68" s="50">
        <v>108</v>
      </c>
      <c r="F68" s="50">
        <v>80</v>
      </c>
      <c r="G68" s="50">
        <v>57</v>
      </c>
      <c r="H68" s="50">
        <v>45</v>
      </c>
      <c r="J68" s="150" t="s">
        <v>445</v>
      </c>
      <c r="K68" s="172"/>
    </row>
    <row r="69" spans="2:11" x14ac:dyDescent="0.35">
      <c r="B69" s="51">
        <v>67</v>
      </c>
      <c r="C69" s="52" t="s">
        <v>66</v>
      </c>
      <c r="D69" s="52" t="s">
        <v>174</v>
      </c>
      <c r="E69" s="53">
        <v>77</v>
      </c>
      <c r="F69" s="53">
        <v>57</v>
      </c>
      <c r="G69" s="53">
        <v>40</v>
      </c>
      <c r="H69" s="53">
        <v>32</v>
      </c>
      <c r="J69" s="150" t="s">
        <v>446</v>
      </c>
      <c r="K69" s="172"/>
    </row>
    <row r="70" spans="2:11" x14ac:dyDescent="0.35">
      <c r="B70" s="54">
        <v>68</v>
      </c>
      <c r="C70" s="55" t="s">
        <v>67</v>
      </c>
      <c r="D70" s="55" t="s">
        <v>174</v>
      </c>
      <c r="E70" s="56">
        <v>47</v>
      </c>
      <c r="F70" s="56">
        <v>33</v>
      </c>
      <c r="G70" s="56">
        <v>22</v>
      </c>
      <c r="H70" s="56">
        <v>17</v>
      </c>
      <c r="J70" s="150" t="s">
        <v>447</v>
      </c>
      <c r="K70" s="172"/>
    </row>
    <row r="71" spans="2:11" x14ac:dyDescent="0.35">
      <c r="B71" s="51">
        <v>69</v>
      </c>
      <c r="C71" s="53" t="s">
        <v>305</v>
      </c>
      <c r="D71" s="53" t="s">
        <v>174</v>
      </c>
      <c r="E71" s="53">
        <v>77</v>
      </c>
      <c r="F71" s="53">
        <v>57</v>
      </c>
      <c r="G71" s="53">
        <v>40</v>
      </c>
      <c r="H71" s="53">
        <v>32</v>
      </c>
      <c r="J71" s="150" t="s">
        <v>448</v>
      </c>
      <c r="K71" s="172"/>
    </row>
    <row r="72" spans="2:11" x14ac:dyDescent="0.35">
      <c r="B72" s="48">
        <v>70</v>
      </c>
      <c r="C72" s="50" t="s">
        <v>306</v>
      </c>
      <c r="D72" s="50" t="s">
        <v>174</v>
      </c>
      <c r="E72" s="50">
        <v>108</v>
      </c>
      <c r="F72" s="50">
        <v>80</v>
      </c>
      <c r="G72" s="50">
        <v>57</v>
      </c>
      <c r="H72" s="50">
        <v>45</v>
      </c>
      <c r="J72" s="150" t="s">
        <v>449</v>
      </c>
      <c r="K72" s="172"/>
    </row>
    <row r="73" spans="2:11" x14ac:dyDescent="0.35">
      <c r="B73" s="51">
        <v>71</v>
      </c>
      <c r="C73" s="53" t="s">
        <v>307</v>
      </c>
      <c r="D73" s="53" t="s">
        <v>174</v>
      </c>
      <c r="E73" s="53">
        <v>77</v>
      </c>
      <c r="F73" s="53">
        <v>57</v>
      </c>
      <c r="G73" s="53">
        <v>40</v>
      </c>
      <c r="H73" s="53">
        <v>32</v>
      </c>
      <c r="J73" s="150" t="s">
        <v>450</v>
      </c>
      <c r="K73" s="172"/>
    </row>
    <row r="74" spans="2:11" x14ac:dyDescent="0.35">
      <c r="B74" s="54">
        <v>72</v>
      </c>
      <c r="C74" s="55" t="s">
        <v>197</v>
      </c>
      <c r="D74" s="55" t="s">
        <v>174</v>
      </c>
      <c r="E74" s="56">
        <v>47</v>
      </c>
      <c r="F74" s="56">
        <v>33</v>
      </c>
      <c r="G74" s="56">
        <v>22</v>
      </c>
      <c r="H74" s="56">
        <v>17</v>
      </c>
      <c r="J74" s="150" t="s">
        <v>451</v>
      </c>
      <c r="K74" s="172"/>
    </row>
    <row r="75" spans="2:11" x14ac:dyDescent="0.35">
      <c r="B75" s="51">
        <v>73</v>
      </c>
      <c r="C75" s="52" t="s">
        <v>68</v>
      </c>
      <c r="D75" s="52" t="s">
        <v>174</v>
      </c>
      <c r="E75" s="53">
        <v>77</v>
      </c>
      <c r="F75" s="53">
        <v>57</v>
      </c>
      <c r="G75" s="53">
        <v>40</v>
      </c>
      <c r="H75" s="53">
        <v>32</v>
      </c>
      <c r="J75" s="150" t="s">
        <v>452</v>
      </c>
      <c r="K75" s="172"/>
    </row>
    <row r="76" spans="2:11" x14ac:dyDescent="0.35">
      <c r="B76" s="54">
        <v>74</v>
      </c>
      <c r="C76" s="55" t="s">
        <v>69</v>
      </c>
      <c r="D76" s="55" t="s">
        <v>174</v>
      </c>
      <c r="E76" s="56">
        <v>47</v>
      </c>
      <c r="F76" s="56">
        <v>33</v>
      </c>
      <c r="G76" s="56">
        <v>22</v>
      </c>
      <c r="H76" s="56">
        <v>17</v>
      </c>
      <c r="J76" s="150" t="s">
        <v>453</v>
      </c>
      <c r="K76" s="172"/>
    </row>
    <row r="77" spans="2:11" x14ac:dyDescent="0.35">
      <c r="B77" s="51">
        <v>75</v>
      </c>
      <c r="C77" s="52" t="s">
        <v>191</v>
      </c>
      <c r="D77" s="52" t="s">
        <v>174</v>
      </c>
      <c r="E77" s="53">
        <v>77</v>
      </c>
      <c r="F77" s="53">
        <v>57</v>
      </c>
      <c r="G77" s="53">
        <v>40</v>
      </c>
      <c r="H77" s="53">
        <v>32</v>
      </c>
      <c r="J77" s="150" t="s">
        <v>454</v>
      </c>
      <c r="K77" s="172"/>
    </row>
    <row r="78" spans="2:11" x14ac:dyDescent="0.35">
      <c r="B78" s="54">
        <v>76</v>
      </c>
      <c r="C78" s="56" t="s">
        <v>308</v>
      </c>
      <c r="D78" s="56" t="s">
        <v>174</v>
      </c>
      <c r="E78" s="56">
        <v>47</v>
      </c>
      <c r="F78" s="56">
        <v>33</v>
      </c>
      <c r="G78" s="56">
        <v>22</v>
      </c>
      <c r="H78" s="56">
        <v>17</v>
      </c>
      <c r="J78" s="150" t="s">
        <v>455</v>
      </c>
      <c r="K78" s="172"/>
    </row>
    <row r="79" spans="2:11" x14ac:dyDescent="0.35">
      <c r="B79" s="54">
        <v>77</v>
      </c>
      <c r="C79" s="56" t="s">
        <v>309</v>
      </c>
      <c r="D79" s="56" t="s">
        <v>174</v>
      </c>
      <c r="E79" s="56">
        <v>47</v>
      </c>
      <c r="F79" s="56">
        <v>33</v>
      </c>
      <c r="G79" s="56">
        <v>22</v>
      </c>
      <c r="H79" s="56">
        <v>17</v>
      </c>
      <c r="J79" s="150" t="s">
        <v>456</v>
      </c>
      <c r="K79" s="172"/>
    </row>
    <row r="80" spans="2:11" x14ac:dyDescent="0.35">
      <c r="B80" s="54">
        <v>78</v>
      </c>
      <c r="C80" s="56" t="s">
        <v>310</v>
      </c>
      <c r="D80" s="56" t="s">
        <v>174</v>
      </c>
      <c r="E80" s="56">
        <v>47</v>
      </c>
      <c r="F80" s="56">
        <v>33</v>
      </c>
      <c r="G80" s="56">
        <v>22</v>
      </c>
      <c r="H80" s="56">
        <v>17</v>
      </c>
      <c r="J80" s="150" t="s">
        <v>457</v>
      </c>
      <c r="K80" s="172"/>
    </row>
    <row r="81" spans="2:11" x14ac:dyDescent="0.35">
      <c r="B81" s="54">
        <v>79</v>
      </c>
      <c r="C81" s="56" t="s">
        <v>311</v>
      </c>
      <c r="D81" s="56" t="s">
        <v>174</v>
      </c>
      <c r="E81" s="56">
        <v>47</v>
      </c>
      <c r="F81" s="56">
        <v>33</v>
      </c>
      <c r="G81" s="56">
        <v>22</v>
      </c>
      <c r="H81" s="56">
        <v>17</v>
      </c>
      <c r="J81" s="150" t="s">
        <v>458</v>
      </c>
      <c r="K81" s="172"/>
    </row>
    <row r="82" spans="2:11" x14ac:dyDescent="0.35">
      <c r="B82" s="48">
        <v>80</v>
      </c>
      <c r="C82" s="50" t="s">
        <v>312</v>
      </c>
      <c r="D82" s="50" t="s">
        <v>174</v>
      </c>
      <c r="E82" s="50">
        <v>108</v>
      </c>
      <c r="F82" s="50">
        <v>80</v>
      </c>
      <c r="G82" s="50">
        <v>57</v>
      </c>
      <c r="H82" s="50">
        <v>45</v>
      </c>
      <c r="J82" s="150" t="s">
        <v>459</v>
      </c>
      <c r="K82" s="172"/>
    </row>
    <row r="83" spans="2:11" x14ac:dyDescent="0.35">
      <c r="B83" s="54">
        <v>81</v>
      </c>
      <c r="C83" s="56" t="s">
        <v>313</v>
      </c>
      <c r="D83" s="56" t="s">
        <v>174</v>
      </c>
      <c r="E83" s="56">
        <v>47</v>
      </c>
      <c r="F83" s="56">
        <v>33</v>
      </c>
      <c r="G83" s="56">
        <v>22</v>
      </c>
      <c r="H83" s="56">
        <v>17</v>
      </c>
      <c r="J83" s="150" t="s">
        <v>460</v>
      </c>
      <c r="K83" s="172"/>
    </row>
    <row r="84" spans="2:11" x14ac:dyDescent="0.35">
      <c r="B84" s="51">
        <v>82</v>
      </c>
      <c r="C84" s="52" t="s">
        <v>70</v>
      </c>
      <c r="D84" s="52" t="s">
        <v>174</v>
      </c>
      <c r="E84" s="53">
        <v>77</v>
      </c>
      <c r="F84" s="53">
        <v>57</v>
      </c>
      <c r="G84" s="53">
        <v>40</v>
      </c>
      <c r="H84" s="53">
        <v>32</v>
      </c>
      <c r="J84" s="150" t="s">
        <v>461</v>
      </c>
      <c r="K84" s="172"/>
    </row>
    <row r="85" spans="2:11" x14ac:dyDescent="0.35">
      <c r="B85" s="54">
        <v>83</v>
      </c>
      <c r="C85" s="56" t="s">
        <v>314</v>
      </c>
      <c r="D85" s="56" t="s">
        <v>174</v>
      </c>
      <c r="E85" s="56">
        <v>47</v>
      </c>
      <c r="F85" s="56">
        <v>33</v>
      </c>
      <c r="G85" s="56">
        <v>22</v>
      </c>
      <c r="H85" s="56">
        <v>17</v>
      </c>
      <c r="J85" s="150" t="s">
        <v>462</v>
      </c>
      <c r="K85" s="172"/>
    </row>
    <row r="86" spans="2:11" x14ac:dyDescent="0.35">
      <c r="B86" s="48">
        <v>84</v>
      </c>
      <c r="C86" s="50" t="s">
        <v>315</v>
      </c>
      <c r="D86" s="50" t="s">
        <v>174</v>
      </c>
      <c r="E86" s="50">
        <v>108</v>
      </c>
      <c r="F86" s="50">
        <v>80</v>
      </c>
      <c r="G86" s="50">
        <v>57</v>
      </c>
      <c r="H86" s="50">
        <v>45</v>
      </c>
      <c r="J86" s="150" t="s">
        <v>463</v>
      </c>
      <c r="K86" s="172"/>
    </row>
    <row r="87" spans="2:11" x14ac:dyDescent="0.35">
      <c r="B87" s="51">
        <v>85</v>
      </c>
      <c r="C87" s="52" t="s">
        <v>71</v>
      </c>
      <c r="D87" s="52" t="s">
        <v>174</v>
      </c>
      <c r="E87" s="53">
        <v>77</v>
      </c>
      <c r="F87" s="53">
        <v>57</v>
      </c>
      <c r="G87" s="53">
        <v>40</v>
      </c>
      <c r="H87" s="53">
        <v>32</v>
      </c>
      <c r="J87" s="150" t="s">
        <v>464</v>
      </c>
      <c r="K87" s="172"/>
    </row>
    <row r="88" spans="2:11" x14ac:dyDescent="0.35">
      <c r="B88" s="54">
        <v>86</v>
      </c>
      <c r="C88" s="56" t="s">
        <v>316</v>
      </c>
      <c r="D88" s="56" t="s">
        <v>174</v>
      </c>
      <c r="E88" s="56">
        <v>47</v>
      </c>
      <c r="F88" s="56">
        <v>33</v>
      </c>
      <c r="G88" s="56">
        <v>22</v>
      </c>
      <c r="H88" s="56">
        <v>17</v>
      </c>
      <c r="J88" s="150" t="s">
        <v>465</v>
      </c>
      <c r="K88" s="172"/>
    </row>
    <row r="89" spans="2:11" x14ac:dyDescent="0.35">
      <c r="B89" s="51">
        <v>87</v>
      </c>
      <c r="C89" s="53" t="s">
        <v>317</v>
      </c>
      <c r="D89" s="53" t="s">
        <v>174</v>
      </c>
      <c r="E89" s="53">
        <v>77</v>
      </c>
      <c r="F89" s="53">
        <v>57</v>
      </c>
      <c r="G89" s="53">
        <v>40</v>
      </c>
      <c r="H89" s="53">
        <v>32</v>
      </c>
      <c r="J89" s="150" t="s">
        <v>466</v>
      </c>
      <c r="K89" s="172"/>
    </row>
    <row r="90" spans="2:11" x14ac:dyDescent="0.35">
      <c r="B90" s="54">
        <v>88</v>
      </c>
      <c r="C90" s="56" t="s">
        <v>318</v>
      </c>
      <c r="D90" s="56" t="s">
        <v>174</v>
      </c>
      <c r="E90" s="56">
        <v>47</v>
      </c>
      <c r="F90" s="56">
        <v>33</v>
      </c>
      <c r="G90" s="56">
        <v>22</v>
      </c>
      <c r="H90" s="56">
        <v>17</v>
      </c>
      <c r="J90" s="150" t="s">
        <v>467</v>
      </c>
      <c r="K90" s="172"/>
    </row>
    <row r="91" spans="2:11" x14ac:dyDescent="0.35">
      <c r="B91" s="51">
        <v>89</v>
      </c>
      <c r="C91" s="53" t="s">
        <v>319</v>
      </c>
      <c r="D91" s="53" t="s">
        <v>174</v>
      </c>
      <c r="E91" s="53">
        <v>77</v>
      </c>
      <c r="F91" s="53">
        <v>57</v>
      </c>
      <c r="G91" s="53">
        <v>40</v>
      </c>
      <c r="H91" s="53">
        <v>32</v>
      </c>
      <c r="J91" s="150" t="s">
        <v>468</v>
      </c>
      <c r="K91" s="172"/>
    </row>
    <row r="92" spans="2:11" x14ac:dyDescent="0.35">
      <c r="B92" s="54">
        <v>90</v>
      </c>
      <c r="C92" s="55" t="s">
        <v>72</v>
      </c>
      <c r="D92" s="55" t="s">
        <v>174</v>
      </c>
      <c r="E92" s="56">
        <v>47</v>
      </c>
      <c r="F92" s="56">
        <v>33</v>
      </c>
      <c r="G92" s="56">
        <v>22</v>
      </c>
      <c r="H92" s="56">
        <v>17</v>
      </c>
      <c r="J92" s="150" t="s">
        <v>469</v>
      </c>
      <c r="K92" s="172"/>
    </row>
    <row r="93" spans="2:11" x14ac:dyDescent="0.35">
      <c r="B93" s="54">
        <v>91</v>
      </c>
      <c r="C93" s="55" t="s">
        <v>73</v>
      </c>
      <c r="D93" s="55" t="s">
        <v>174</v>
      </c>
      <c r="E93" s="56">
        <v>47</v>
      </c>
      <c r="F93" s="56">
        <v>33</v>
      </c>
      <c r="G93" s="56">
        <v>22</v>
      </c>
      <c r="H93" s="56">
        <v>17</v>
      </c>
      <c r="J93" s="150" t="s">
        <v>470</v>
      </c>
      <c r="K93" s="172"/>
    </row>
    <row r="94" spans="2:11" x14ac:dyDescent="0.35">
      <c r="B94" s="54">
        <v>92</v>
      </c>
      <c r="C94" s="55" t="s">
        <v>74</v>
      </c>
      <c r="D94" s="55" t="s">
        <v>174</v>
      </c>
      <c r="E94" s="56">
        <v>47</v>
      </c>
      <c r="F94" s="56">
        <v>33</v>
      </c>
      <c r="G94" s="56">
        <v>22</v>
      </c>
      <c r="H94" s="56">
        <v>17</v>
      </c>
      <c r="J94" s="172"/>
    </row>
    <row r="95" spans="2:11" x14ac:dyDescent="0.35">
      <c r="B95" s="51">
        <v>93</v>
      </c>
      <c r="C95" s="52" t="s">
        <v>75</v>
      </c>
      <c r="D95" s="52" t="s">
        <v>174</v>
      </c>
      <c r="E95" s="53">
        <v>77</v>
      </c>
      <c r="F95" s="53">
        <v>57</v>
      </c>
      <c r="G95" s="53">
        <v>40</v>
      </c>
      <c r="H95" s="53">
        <v>32</v>
      </c>
      <c r="J95" s="31" t="s">
        <v>507</v>
      </c>
    </row>
    <row r="96" spans="2:11" x14ac:dyDescent="0.35">
      <c r="B96" s="51">
        <v>94</v>
      </c>
      <c r="C96" s="52" t="s">
        <v>76</v>
      </c>
      <c r="D96" s="52" t="s">
        <v>174</v>
      </c>
      <c r="E96" s="53">
        <v>77</v>
      </c>
      <c r="F96" s="53">
        <v>57</v>
      </c>
      <c r="G96" s="53">
        <v>40</v>
      </c>
      <c r="H96" s="53">
        <v>32</v>
      </c>
      <c r="J96" s="150" t="s">
        <v>482</v>
      </c>
    </row>
    <row r="97" spans="2:10" x14ac:dyDescent="0.35">
      <c r="B97" s="45">
        <v>95</v>
      </c>
      <c r="C97" s="46" t="s">
        <v>51</v>
      </c>
      <c r="D97" s="46" t="s">
        <v>174</v>
      </c>
      <c r="E97" s="47">
        <v>166</v>
      </c>
      <c r="F97" s="47">
        <v>132</v>
      </c>
      <c r="G97" s="47">
        <v>102</v>
      </c>
      <c r="H97" s="47">
        <v>92</v>
      </c>
      <c r="J97" s="150" t="s">
        <v>508</v>
      </c>
    </row>
    <row r="98" spans="2:10" x14ac:dyDescent="0.35">
      <c r="B98" s="48">
        <v>96</v>
      </c>
      <c r="C98" s="50" t="s">
        <v>320</v>
      </c>
      <c r="D98" s="50" t="s">
        <v>174</v>
      </c>
      <c r="E98" s="50">
        <v>108</v>
      </c>
      <c r="F98" s="50">
        <v>80</v>
      </c>
      <c r="G98" s="50">
        <v>57</v>
      </c>
      <c r="H98" s="50">
        <v>45</v>
      </c>
    </row>
    <row r="99" spans="2:10" x14ac:dyDescent="0.35">
      <c r="B99" s="51">
        <v>97</v>
      </c>
      <c r="C99" s="53" t="s">
        <v>321</v>
      </c>
      <c r="D99" s="53" t="s">
        <v>174</v>
      </c>
      <c r="E99" s="53">
        <v>77</v>
      </c>
      <c r="F99" s="53">
        <v>57</v>
      </c>
      <c r="G99" s="53">
        <v>40</v>
      </c>
      <c r="H99" s="53">
        <v>32</v>
      </c>
    </row>
    <row r="100" spans="2:10" x14ac:dyDescent="0.35">
      <c r="B100" s="51">
        <v>98</v>
      </c>
      <c r="C100" s="52" t="s">
        <v>77</v>
      </c>
      <c r="D100" s="52" t="s">
        <v>174</v>
      </c>
      <c r="E100" s="53">
        <v>77</v>
      </c>
      <c r="F100" s="53">
        <v>57</v>
      </c>
      <c r="G100" s="53">
        <v>40</v>
      </c>
      <c r="H100" s="53">
        <v>32</v>
      </c>
    </row>
    <row r="101" spans="2:10" x14ac:dyDescent="0.35">
      <c r="B101" s="51">
        <v>99</v>
      </c>
      <c r="C101" s="52" t="s">
        <v>198</v>
      </c>
      <c r="D101" s="52" t="s">
        <v>174</v>
      </c>
      <c r="E101" s="53">
        <v>77</v>
      </c>
      <c r="F101" s="53">
        <v>57</v>
      </c>
      <c r="G101" s="53">
        <v>40</v>
      </c>
      <c r="H101" s="53">
        <v>32</v>
      </c>
    </row>
    <row r="102" spans="2:10" x14ac:dyDescent="0.35">
      <c r="B102" s="51">
        <v>100</v>
      </c>
      <c r="C102" s="53" t="s">
        <v>322</v>
      </c>
      <c r="D102" s="53" t="s">
        <v>174</v>
      </c>
      <c r="E102" s="53">
        <v>77</v>
      </c>
      <c r="F102" s="53">
        <v>57</v>
      </c>
      <c r="G102" s="53">
        <v>40</v>
      </c>
      <c r="H102" s="53">
        <v>32</v>
      </c>
    </row>
    <row r="103" spans="2:10" x14ac:dyDescent="0.35">
      <c r="B103" s="54">
        <v>101</v>
      </c>
      <c r="C103" s="56" t="s">
        <v>323</v>
      </c>
      <c r="D103" s="56" t="s">
        <v>174</v>
      </c>
      <c r="E103" s="56">
        <v>47</v>
      </c>
      <c r="F103" s="56">
        <v>33</v>
      </c>
      <c r="G103" s="56">
        <v>22</v>
      </c>
      <c r="H103" s="56">
        <v>17</v>
      </c>
    </row>
    <row r="104" spans="2:10" x14ac:dyDescent="0.35">
      <c r="B104" s="48">
        <v>102</v>
      </c>
      <c r="C104" s="49" t="s">
        <v>154</v>
      </c>
      <c r="D104" s="49" t="s">
        <v>174</v>
      </c>
      <c r="E104" s="50">
        <v>108</v>
      </c>
      <c r="F104" s="50">
        <v>80</v>
      </c>
      <c r="G104" s="50">
        <v>57</v>
      </c>
      <c r="H104" s="50">
        <v>45</v>
      </c>
    </row>
    <row r="105" spans="2:10" x14ac:dyDescent="0.35">
      <c r="B105" s="54">
        <v>103</v>
      </c>
      <c r="C105" s="55" t="s">
        <v>78</v>
      </c>
      <c r="D105" s="55" t="s">
        <v>174</v>
      </c>
      <c r="E105" s="56">
        <v>47</v>
      </c>
      <c r="F105" s="56">
        <v>33</v>
      </c>
      <c r="G105" s="56">
        <v>22</v>
      </c>
      <c r="H105" s="56">
        <v>17</v>
      </c>
    </row>
    <row r="106" spans="2:10" x14ac:dyDescent="0.35">
      <c r="B106" s="54">
        <v>104</v>
      </c>
      <c r="C106" s="55" t="s">
        <v>79</v>
      </c>
      <c r="D106" s="55" t="s">
        <v>174</v>
      </c>
      <c r="E106" s="56">
        <v>47</v>
      </c>
      <c r="F106" s="56">
        <v>33</v>
      </c>
      <c r="G106" s="56">
        <v>22</v>
      </c>
      <c r="H106" s="56">
        <v>17</v>
      </c>
    </row>
    <row r="107" spans="2:10" x14ac:dyDescent="0.35">
      <c r="B107" s="48">
        <v>105</v>
      </c>
      <c r="C107" s="49" t="s">
        <v>80</v>
      </c>
      <c r="D107" s="49" t="s">
        <v>174</v>
      </c>
      <c r="E107" s="50">
        <v>108</v>
      </c>
      <c r="F107" s="50">
        <v>80</v>
      </c>
      <c r="G107" s="50">
        <v>57</v>
      </c>
      <c r="H107" s="50">
        <v>45</v>
      </c>
    </row>
    <row r="108" spans="2:10" x14ac:dyDescent="0.35">
      <c r="B108" s="54">
        <v>106</v>
      </c>
      <c r="C108" s="56" t="s">
        <v>324</v>
      </c>
      <c r="D108" s="56" t="s">
        <v>174</v>
      </c>
      <c r="E108" s="56">
        <v>47</v>
      </c>
      <c r="F108" s="56">
        <v>33</v>
      </c>
      <c r="G108" s="56">
        <v>22</v>
      </c>
      <c r="H108" s="56">
        <v>17</v>
      </c>
    </row>
    <row r="109" spans="2:10" x14ac:dyDescent="0.35">
      <c r="B109" s="54">
        <v>107</v>
      </c>
      <c r="C109" s="56" t="s">
        <v>325</v>
      </c>
      <c r="D109" s="56" t="s">
        <v>174</v>
      </c>
      <c r="E109" s="56">
        <v>47</v>
      </c>
      <c r="F109" s="56">
        <v>33</v>
      </c>
      <c r="G109" s="56">
        <v>22</v>
      </c>
      <c r="H109" s="56">
        <v>17</v>
      </c>
    </row>
    <row r="110" spans="2:10" x14ac:dyDescent="0.35">
      <c r="B110" s="48">
        <v>108</v>
      </c>
      <c r="C110" s="49" t="s">
        <v>81</v>
      </c>
      <c r="D110" s="49" t="s">
        <v>174</v>
      </c>
      <c r="E110" s="50">
        <v>108</v>
      </c>
      <c r="F110" s="50">
        <v>80</v>
      </c>
      <c r="G110" s="50">
        <v>57</v>
      </c>
      <c r="H110" s="50">
        <v>45</v>
      </c>
    </row>
    <row r="111" spans="2:10" x14ac:dyDescent="0.35">
      <c r="B111" s="54">
        <v>109</v>
      </c>
      <c r="C111" s="56" t="s">
        <v>326</v>
      </c>
      <c r="D111" s="56" t="s">
        <v>174</v>
      </c>
      <c r="E111" s="56">
        <v>47</v>
      </c>
      <c r="F111" s="56">
        <v>33</v>
      </c>
      <c r="G111" s="56">
        <v>22</v>
      </c>
      <c r="H111" s="56">
        <v>17</v>
      </c>
    </row>
    <row r="112" spans="2:10" x14ac:dyDescent="0.35">
      <c r="B112" s="54">
        <v>110</v>
      </c>
      <c r="C112" s="56" t="s">
        <v>327</v>
      </c>
      <c r="D112" s="56" t="s">
        <v>174</v>
      </c>
      <c r="E112" s="56">
        <v>47</v>
      </c>
      <c r="F112" s="56">
        <v>33</v>
      </c>
      <c r="G112" s="56">
        <v>22</v>
      </c>
      <c r="H112" s="56">
        <v>17</v>
      </c>
    </row>
    <row r="113" spans="2:8" x14ac:dyDescent="0.35">
      <c r="B113" s="54">
        <v>111</v>
      </c>
      <c r="C113" s="55" t="s">
        <v>82</v>
      </c>
      <c r="D113" s="55" t="s">
        <v>174</v>
      </c>
      <c r="E113" s="56">
        <v>47</v>
      </c>
      <c r="F113" s="56">
        <v>33</v>
      </c>
      <c r="G113" s="56">
        <v>22</v>
      </c>
      <c r="H113" s="56">
        <v>17</v>
      </c>
    </row>
    <row r="114" spans="2:8" x14ac:dyDescent="0.35">
      <c r="B114" s="54">
        <v>112</v>
      </c>
      <c r="C114" s="55" t="s">
        <v>83</v>
      </c>
      <c r="D114" s="55" t="s">
        <v>174</v>
      </c>
      <c r="E114" s="56">
        <v>47</v>
      </c>
      <c r="F114" s="56">
        <v>33</v>
      </c>
      <c r="G114" s="56">
        <v>22</v>
      </c>
      <c r="H114" s="56">
        <v>17</v>
      </c>
    </row>
    <row r="115" spans="2:8" x14ac:dyDescent="0.35">
      <c r="B115" s="54">
        <v>113</v>
      </c>
      <c r="C115" s="56" t="s">
        <v>328</v>
      </c>
      <c r="D115" s="56" t="s">
        <v>174</v>
      </c>
      <c r="E115" s="56">
        <v>47</v>
      </c>
      <c r="F115" s="56">
        <v>33</v>
      </c>
      <c r="G115" s="56">
        <v>22</v>
      </c>
      <c r="H115" s="56">
        <v>17</v>
      </c>
    </row>
    <row r="116" spans="2:8" x14ac:dyDescent="0.35">
      <c r="B116" s="54">
        <v>114</v>
      </c>
      <c r="C116" s="56" t="s">
        <v>329</v>
      </c>
      <c r="D116" s="56" t="s">
        <v>174</v>
      </c>
      <c r="E116" s="56">
        <v>47</v>
      </c>
      <c r="F116" s="56">
        <v>33</v>
      </c>
      <c r="G116" s="56">
        <v>22</v>
      </c>
      <c r="H116" s="56">
        <v>17</v>
      </c>
    </row>
    <row r="117" spans="2:8" x14ac:dyDescent="0.35">
      <c r="B117" s="54">
        <v>115</v>
      </c>
      <c r="C117" s="56" t="s">
        <v>330</v>
      </c>
      <c r="D117" s="56" t="s">
        <v>174</v>
      </c>
      <c r="E117" s="56">
        <v>47</v>
      </c>
      <c r="F117" s="56">
        <v>33</v>
      </c>
      <c r="G117" s="56">
        <v>22</v>
      </c>
      <c r="H117" s="56">
        <v>17</v>
      </c>
    </row>
    <row r="118" spans="2:8" x14ac:dyDescent="0.35">
      <c r="B118" s="54">
        <v>116</v>
      </c>
      <c r="C118" s="56" t="s">
        <v>331</v>
      </c>
      <c r="D118" s="56" t="s">
        <v>174</v>
      </c>
      <c r="E118" s="56">
        <v>47</v>
      </c>
      <c r="F118" s="56">
        <v>33</v>
      </c>
      <c r="G118" s="56">
        <v>22</v>
      </c>
      <c r="H118" s="56">
        <v>17</v>
      </c>
    </row>
    <row r="119" spans="2:8" x14ac:dyDescent="0.35">
      <c r="B119" s="48">
        <v>117</v>
      </c>
      <c r="C119" s="49" t="s">
        <v>84</v>
      </c>
      <c r="D119" s="49" t="s">
        <v>174</v>
      </c>
      <c r="E119" s="50">
        <v>108</v>
      </c>
      <c r="F119" s="50">
        <v>80</v>
      </c>
      <c r="G119" s="50">
        <v>57</v>
      </c>
      <c r="H119" s="50">
        <v>45</v>
      </c>
    </row>
    <row r="120" spans="2:8" x14ac:dyDescent="0.35">
      <c r="B120" s="51">
        <v>118</v>
      </c>
      <c r="C120" s="53" t="s">
        <v>332</v>
      </c>
      <c r="D120" s="53" t="s">
        <v>174</v>
      </c>
      <c r="E120" s="53">
        <v>77</v>
      </c>
      <c r="F120" s="53">
        <v>57</v>
      </c>
      <c r="G120" s="53">
        <v>40</v>
      </c>
      <c r="H120" s="53">
        <v>32</v>
      </c>
    </row>
    <row r="121" spans="2:8" x14ac:dyDescent="0.35">
      <c r="B121" s="54">
        <v>119</v>
      </c>
      <c r="C121" s="55" t="s">
        <v>85</v>
      </c>
      <c r="D121" s="55" t="s">
        <v>174</v>
      </c>
      <c r="E121" s="56">
        <v>47</v>
      </c>
      <c r="F121" s="56">
        <v>33</v>
      </c>
      <c r="G121" s="56">
        <v>22</v>
      </c>
      <c r="H121" s="56">
        <v>17</v>
      </c>
    </row>
    <row r="122" spans="2:8" x14ac:dyDescent="0.35">
      <c r="B122" s="54">
        <v>120</v>
      </c>
      <c r="C122" s="55" t="s">
        <v>86</v>
      </c>
      <c r="D122" s="55" t="s">
        <v>174</v>
      </c>
      <c r="E122" s="56">
        <v>47</v>
      </c>
      <c r="F122" s="56">
        <v>33</v>
      </c>
      <c r="G122" s="56">
        <v>22</v>
      </c>
      <c r="H122" s="56">
        <v>17</v>
      </c>
    </row>
    <row r="123" spans="2:8" x14ac:dyDescent="0.35">
      <c r="B123" s="48">
        <v>121</v>
      </c>
      <c r="C123" s="49" t="s">
        <v>87</v>
      </c>
      <c r="D123" s="49" t="s">
        <v>174</v>
      </c>
      <c r="E123" s="50">
        <v>108</v>
      </c>
      <c r="F123" s="50">
        <v>80</v>
      </c>
      <c r="G123" s="50">
        <v>57</v>
      </c>
      <c r="H123" s="50">
        <v>45</v>
      </c>
    </row>
    <row r="124" spans="2:8" x14ac:dyDescent="0.35">
      <c r="B124" s="51">
        <v>122</v>
      </c>
      <c r="C124" s="52" t="s">
        <v>88</v>
      </c>
      <c r="D124" s="52" t="s">
        <v>174</v>
      </c>
      <c r="E124" s="53">
        <v>77</v>
      </c>
      <c r="F124" s="53">
        <v>57</v>
      </c>
      <c r="G124" s="53">
        <v>40</v>
      </c>
      <c r="H124" s="53">
        <v>32</v>
      </c>
    </row>
    <row r="125" spans="2:8" x14ac:dyDescent="0.35">
      <c r="B125" s="51">
        <v>123</v>
      </c>
      <c r="C125" s="53" t="s">
        <v>333</v>
      </c>
      <c r="D125" s="53" t="s">
        <v>174</v>
      </c>
      <c r="E125" s="53">
        <v>77</v>
      </c>
      <c r="F125" s="53">
        <v>57</v>
      </c>
      <c r="G125" s="53">
        <v>40</v>
      </c>
      <c r="H125" s="53">
        <v>32</v>
      </c>
    </row>
    <row r="126" spans="2:8" x14ac:dyDescent="0.35">
      <c r="B126" s="54">
        <v>124</v>
      </c>
      <c r="C126" s="55" t="s">
        <v>187</v>
      </c>
      <c r="D126" s="55" t="s">
        <v>174</v>
      </c>
      <c r="E126" s="56">
        <v>47</v>
      </c>
      <c r="F126" s="56">
        <v>33</v>
      </c>
      <c r="G126" s="56">
        <v>22</v>
      </c>
      <c r="H126" s="56">
        <v>17</v>
      </c>
    </row>
    <row r="127" spans="2:8" x14ac:dyDescent="0.35">
      <c r="B127" s="51">
        <v>125</v>
      </c>
      <c r="C127" s="53" t="s">
        <v>334</v>
      </c>
      <c r="D127" s="53" t="s">
        <v>174</v>
      </c>
      <c r="E127" s="53">
        <v>77</v>
      </c>
      <c r="F127" s="53">
        <v>57</v>
      </c>
      <c r="G127" s="53">
        <v>40</v>
      </c>
      <c r="H127" s="53">
        <v>32</v>
      </c>
    </row>
    <row r="128" spans="2:8" x14ac:dyDescent="0.35">
      <c r="B128" s="54">
        <v>126</v>
      </c>
      <c r="C128" s="56" t="s">
        <v>335</v>
      </c>
      <c r="D128" s="56" t="s">
        <v>174</v>
      </c>
      <c r="E128" s="56">
        <v>47</v>
      </c>
      <c r="F128" s="56">
        <v>33</v>
      </c>
      <c r="G128" s="56">
        <v>22</v>
      </c>
      <c r="H128" s="56">
        <v>17</v>
      </c>
    </row>
    <row r="129" spans="2:8" x14ac:dyDescent="0.35">
      <c r="B129" s="54">
        <v>127</v>
      </c>
      <c r="C129" s="55" t="s">
        <v>89</v>
      </c>
      <c r="D129" s="55" t="s">
        <v>174</v>
      </c>
      <c r="E129" s="56">
        <v>47</v>
      </c>
      <c r="F129" s="56">
        <v>33</v>
      </c>
      <c r="G129" s="56">
        <v>22</v>
      </c>
      <c r="H129" s="56">
        <v>17</v>
      </c>
    </row>
    <row r="130" spans="2:8" x14ac:dyDescent="0.35">
      <c r="B130" s="54">
        <v>128</v>
      </c>
      <c r="C130" s="55" t="s">
        <v>90</v>
      </c>
      <c r="D130" s="55" t="s">
        <v>174</v>
      </c>
      <c r="E130" s="56">
        <v>47</v>
      </c>
      <c r="F130" s="56">
        <v>33</v>
      </c>
      <c r="G130" s="56">
        <v>22</v>
      </c>
      <c r="H130" s="56">
        <v>17</v>
      </c>
    </row>
    <row r="131" spans="2:8" x14ac:dyDescent="0.35">
      <c r="B131" s="54">
        <v>129</v>
      </c>
      <c r="C131" s="56" t="s">
        <v>336</v>
      </c>
      <c r="D131" s="56" t="s">
        <v>174</v>
      </c>
      <c r="E131" s="56">
        <v>47</v>
      </c>
      <c r="F131" s="56">
        <v>33</v>
      </c>
      <c r="G131" s="56">
        <v>22</v>
      </c>
      <c r="H131" s="56">
        <v>17</v>
      </c>
    </row>
    <row r="132" spans="2:8" x14ac:dyDescent="0.35">
      <c r="B132" s="48">
        <v>130</v>
      </c>
      <c r="C132" s="50" t="s">
        <v>337</v>
      </c>
      <c r="D132" s="50" t="s">
        <v>174</v>
      </c>
      <c r="E132" s="50">
        <v>108</v>
      </c>
      <c r="F132" s="50">
        <v>80</v>
      </c>
      <c r="G132" s="50">
        <v>57</v>
      </c>
      <c r="H132" s="50">
        <v>45</v>
      </c>
    </row>
    <row r="133" spans="2:8" x14ac:dyDescent="0.35">
      <c r="B133" s="54">
        <v>131</v>
      </c>
      <c r="C133" s="56" t="s">
        <v>338</v>
      </c>
      <c r="D133" s="56" t="s">
        <v>174</v>
      </c>
      <c r="E133" s="56">
        <v>47</v>
      </c>
      <c r="F133" s="56">
        <v>33</v>
      </c>
      <c r="G133" s="56">
        <v>22</v>
      </c>
      <c r="H133" s="56">
        <v>17</v>
      </c>
    </row>
    <row r="134" spans="2:8" x14ac:dyDescent="0.35">
      <c r="B134" s="54">
        <v>132</v>
      </c>
      <c r="C134" s="55" t="s">
        <v>91</v>
      </c>
      <c r="D134" s="55" t="s">
        <v>174</v>
      </c>
      <c r="E134" s="56">
        <v>47</v>
      </c>
      <c r="F134" s="56">
        <v>33</v>
      </c>
      <c r="G134" s="56">
        <v>22</v>
      </c>
      <c r="H134" s="56">
        <v>17</v>
      </c>
    </row>
    <row r="135" spans="2:8" x14ac:dyDescent="0.35">
      <c r="B135" s="54">
        <v>133</v>
      </c>
      <c r="C135" s="56" t="s">
        <v>339</v>
      </c>
      <c r="D135" s="56" t="s">
        <v>174</v>
      </c>
      <c r="E135" s="56">
        <v>47</v>
      </c>
      <c r="F135" s="56">
        <v>33</v>
      </c>
      <c r="G135" s="56">
        <v>22</v>
      </c>
      <c r="H135" s="56">
        <v>17</v>
      </c>
    </row>
    <row r="136" spans="2:8" x14ac:dyDescent="0.35">
      <c r="B136" s="51">
        <v>134</v>
      </c>
      <c r="C136" s="52" t="s">
        <v>153</v>
      </c>
      <c r="D136" s="52" t="s">
        <v>174</v>
      </c>
      <c r="E136" s="53">
        <v>77</v>
      </c>
      <c r="F136" s="53">
        <v>57</v>
      </c>
      <c r="G136" s="53">
        <v>40</v>
      </c>
      <c r="H136" s="53">
        <v>32</v>
      </c>
    </row>
    <row r="137" spans="2:8" x14ac:dyDescent="0.35">
      <c r="B137" s="51">
        <v>135</v>
      </c>
      <c r="C137" s="52" t="s">
        <v>92</v>
      </c>
      <c r="D137" s="52" t="s">
        <v>174</v>
      </c>
      <c r="E137" s="53">
        <v>77</v>
      </c>
      <c r="F137" s="53">
        <v>57</v>
      </c>
      <c r="G137" s="53">
        <v>40</v>
      </c>
      <c r="H137" s="53">
        <v>32</v>
      </c>
    </row>
    <row r="138" spans="2:8" x14ac:dyDescent="0.35">
      <c r="B138" s="51">
        <v>136</v>
      </c>
      <c r="C138" s="53" t="s">
        <v>340</v>
      </c>
      <c r="D138" s="53" t="s">
        <v>174</v>
      </c>
      <c r="E138" s="53">
        <v>77</v>
      </c>
      <c r="F138" s="53">
        <v>57</v>
      </c>
      <c r="G138" s="53">
        <v>40</v>
      </c>
      <c r="H138" s="53">
        <v>32</v>
      </c>
    </row>
    <row r="139" spans="2:8" x14ac:dyDescent="0.35">
      <c r="B139" s="51">
        <v>137</v>
      </c>
      <c r="C139" s="52" t="s">
        <v>93</v>
      </c>
      <c r="D139" s="52" t="s">
        <v>174</v>
      </c>
      <c r="E139" s="53">
        <v>77</v>
      </c>
      <c r="F139" s="53">
        <v>57</v>
      </c>
      <c r="G139" s="53">
        <v>40</v>
      </c>
      <c r="H139" s="53">
        <v>32</v>
      </c>
    </row>
    <row r="140" spans="2:8" x14ac:dyDescent="0.35">
      <c r="B140" s="48">
        <v>138</v>
      </c>
      <c r="C140" s="49" t="s">
        <v>131</v>
      </c>
      <c r="D140" s="49" t="s">
        <v>174</v>
      </c>
      <c r="E140" s="50">
        <v>108</v>
      </c>
      <c r="F140" s="50">
        <v>80</v>
      </c>
      <c r="G140" s="50">
        <v>57</v>
      </c>
      <c r="H140" s="50">
        <v>45</v>
      </c>
    </row>
    <row r="141" spans="2:8" x14ac:dyDescent="0.35">
      <c r="B141" s="54">
        <v>139</v>
      </c>
      <c r="C141" s="55" t="s">
        <v>94</v>
      </c>
      <c r="D141" s="55" t="s">
        <v>174</v>
      </c>
      <c r="E141" s="56">
        <v>47</v>
      </c>
      <c r="F141" s="56">
        <v>33</v>
      </c>
      <c r="G141" s="56">
        <v>22</v>
      </c>
      <c r="H141" s="56">
        <v>17</v>
      </c>
    </row>
    <row r="142" spans="2:8" x14ac:dyDescent="0.35">
      <c r="B142" s="51">
        <v>140</v>
      </c>
      <c r="C142" s="52" t="s">
        <v>162</v>
      </c>
      <c r="D142" s="52" t="s">
        <v>174</v>
      </c>
      <c r="E142" s="53">
        <v>77</v>
      </c>
      <c r="F142" s="53">
        <v>57</v>
      </c>
      <c r="G142" s="53">
        <v>40</v>
      </c>
      <c r="H142" s="53">
        <v>32</v>
      </c>
    </row>
    <row r="143" spans="2:8" x14ac:dyDescent="0.35">
      <c r="B143" s="54">
        <v>141</v>
      </c>
      <c r="C143" s="56" t="s">
        <v>341</v>
      </c>
      <c r="D143" s="56" t="s">
        <v>174</v>
      </c>
      <c r="E143" s="56">
        <v>47</v>
      </c>
      <c r="F143" s="56">
        <v>33</v>
      </c>
      <c r="G143" s="56">
        <v>22</v>
      </c>
      <c r="H143" s="56">
        <v>17</v>
      </c>
    </row>
    <row r="144" spans="2:8" x14ac:dyDescent="0.35">
      <c r="B144" s="48">
        <v>142</v>
      </c>
      <c r="C144" s="50" t="s">
        <v>342</v>
      </c>
      <c r="D144" s="50" t="s">
        <v>174</v>
      </c>
      <c r="E144" s="50">
        <v>108</v>
      </c>
      <c r="F144" s="50">
        <v>80</v>
      </c>
      <c r="G144" s="50">
        <v>57</v>
      </c>
      <c r="H144" s="50">
        <v>45</v>
      </c>
    </row>
    <row r="145" spans="2:8" x14ac:dyDescent="0.35">
      <c r="B145" s="48">
        <v>143</v>
      </c>
      <c r="C145" s="50" t="s">
        <v>343</v>
      </c>
      <c r="D145" s="50" t="s">
        <v>174</v>
      </c>
      <c r="E145" s="50">
        <v>108</v>
      </c>
      <c r="F145" s="50">
        <v>80</v>
      </c>
      <c r="G145" s="50">
        <v>57</v>
      </c>
      <c r="H145" s="50">
        <v>45</v>
      </c>
    </row>
    <row r="146" spans="2:8" x14ac:dyDescent="0.35">
      <c r="B146" s="48">
        <v>144</v>
      </c>
      <c r="C146" s="50" t="s">
        <v>344</v>
      </c>
      <c r="D146" s="50" t="s">
        <v>174</v>
      </c>
      <c r="E146" s="50">
        <v>108</v>
      </c>
      <c r="F146" s="50">
        <v>80</v>
      </c>
      <c r="G146" s="50">
        <v>57</v>
      </c>
      <c r="H146" s="50">
        <v>45</v>
      </c>
    </row>
    <row r="147" spans="2:8" x14ac:dyDescent="0.35">
      <c r="B147" s="54">
        <v>145</v>
      </c>
      <c r="C147" s="56" t="s">
        <v>345</v>
      </c>
      <c r="D147" s="56" t="s">
        <v>174</v>
      </c>
      <c r="E147" s="56">
        <v>47</v>
      </c>
      <c r="F147" s="56">
        <v>33</v>
      </c>
      <c r="G147" s="56">
        <v>22</v>
      </c>
      <c r="H147" s="56">
        <v>17</v>
      </c>
    </row>
    <row r="148" spans="2:8" x14ac:dyDescent="0.35">
      <c r="B148" s="48">
        <v>146</v>
      </c>
      <c r="C148" s="50" t="s">
        <v>346</v>
      </c>
      <c r="D148" s="50" t="s">
        <v>174</v>
      </c>
      <c r="E148" s="50">
        <v>108</v>
      </c>
      <c r="F148" s="50">
        <v>80</v>
      </c>
      <c r="G148" s="50">
        <v>57</v>
      </c>
      <c r="H148" s="50">
        <v>45</v>
      </c>
    </row>
    <row r="149" spans="2:8" x14ac:dyDescent="0.35">
      <c r="B149" s="51">
        <v>147</v>
      </c>
      <c r="C149" s="53" t="s">
        <v>347</v>
      </c>
      <c r="D149" s="53" t="s">
        <v>174</v>
      </c>
      <c r="E149" s="53">
        <v>77</v>
      </c>
      <c r="F149" s="53">
        <v>57</v>
      </c>
      <c r="G149" s="53">
        <v>40</v>
      </c>
      <c r="H149" s="53">
        <v>32</v>
      </c>
    </row>
    <row r="150" spans="2:8" x14ac:dyDescent="0.35">
      <c r="B150" s="48">
        <v>148</v>
      </c>
      <c r="C150" s="50" t="s">
        <v>348</v>
      </c>
      <c r="D150" s="50" t="s">
        <v>174</v>
      </c>
      <c r="E150" s="50">
        <v>108</v>
      </c>
      <c r="F150" s="50">
        <v>80</v>
      </c>
      <c r="G150" s="50">
        <v>57</v>
      </c>
      <c r="H150" s="50">
        <v>45</v>
      </c>
    </row>
    <row r="151" spans="2:8" x14ac:dyDescent="0.35">
      <c r="B151" s="54">
        <v>149</v>
      </c>
      <c r="C151" s="56" t="s">
        <v>349</v>
      </c>
      <c r="D151" s="56" t="s">
        <v>174</v>
      </c>
      <c r="E151" s="56">
        <v>47</v>
      </c>
      <c r="F151" s="56">
        <v>33</v>
      </c>
      <c r="G151" s="56">
        <v>22</v>
      </c>
      <c r="H151" s="56">
        <v>17</v>
      </c>
    </row>
    <row r="152" spans="2:8" x14ac:dyDescent="0.35">
      <c r="B152" s="54">
        <v>150</v>
      </c>
      <c r="C152" s="56" t="s">
        <v>350</v>
      </c>
      <c r="D152" s="56" t="s">
        <v>174</v>
      </c>
      <c r="E152" s="56">
        <v>47</v>
      </c>
      <c r="F152" s="56">
        <v>33</v>
      </c>
      <c r="G152" s="56">
        <v>22</v>
      </c>
      <c r="H152" s="56">
        <v>17</v>
      </c>
    </row>
    <row r="153" spans="2:8" x14ac:dyDescent="0.35">
      <c r="B153" s="54">
        <v>151</v>
      </c>
      <c r="C153" s="56" t="s">
        <v>351</v>
      </c>
      <c r="D153" s="56" t="s">
        <v>174</v>
      </c>
      <c r="E153" s="56">
        <v>47</v>
      </c>
      <c r="F153" s="56">
        <v>33</v>
      </c>
      <c r="G153" s="56">
        <v>22</v>
      </c>
      <c r="H153" s="56">
        <v>17</v>
      </c>
    </row>
    <row r="154" spans="2:8" x14ac:dyDescent="0.35">
      <c r="B154" s="51">
        <v>152</v>
      </c>
      <c r="C154" s="52" t="s">
        <v>96</v>
      </c>
      <c r="D154" s="52" t="s">
        <v>174</v>
      </c>
      <c r="E154" s="53">
        <v>77</v>
      </c>
      <c r="F154" s="53">
        <v>57</v>
      </c>
      <c r="G154" s="53">
        <v>40</v>
      </c>
      <c r="H154" s="53">
        <v>32</v>
      </c>
    </row>
    <row r="155" spans="2:8" x14ac:dyDescent="0.35">
      <c r="B155" s="54">
        <v>153</v>
      </c>
      <c r="C155" s="56" t="s">
        <v>352</v>
      </c>
      <c r="D155" s="56" t="s">
        <v>174</v>
      </c>
      <c r="E155" s="56">
        <v>47</v>
      </c>
      <c r="F155" s="56">
        <v>33</v>
      </c>
      <c r="G155" s="56">
        <v>22</v>
      </c>
      <c r="H155" s="56">
        <v>17</v>
      </c>
    </row>
    <row r="156" spans="2:8" x14ac:dyDescent="0.35">
      <c r="B156" s="54">
        <v>154</v>
      </c>
      <c r="C156" s="55" t="s">
        <v>190</v>
      </c>
      <c r="D156" s="55" t="s">
        <v>174</v>
      </c>
      <c r="E156" s="56">
        <v>47</v>
      </c>
      <c r="F156" s="56">
        <v>33</v>
      </c>
      <c r="G156" s="56">
        <v>22</v>
      </c>
      <c r="H156" s="56">
        <v>17</v>
      </c>
    </row>
    <row r="157" spans="2:8" x14ac:dyDescent="0.35">
      <c r="B157" s="54">
        <v>155</v>
      </c>
      <c r="C157" s="56" t="s">
        <v>353</v>
      </c>
      <c r="D157" s="56" t="s">
        <v>174</v>
      </c>
      <c r="E157" s="56">
        <v>47</v>
      </c>
      <c r="F157" s="56">
        <v>33</v>
      </c>
      <c r="G157" s="56">
        <v>22</v>
      </c>
      <c r="H157" s="56">
        <v>17</v>
      </c>
    </row>
    <row r="158" spans="2:8" x14ac:dyDescent="0.35">
      <c r="B158" s="51">
        <v>156</v>
      </c>
      <c r="C158" s="53" t="s">
        <v>354</v>
      </c>
      <c r="D158" s="53" t="s">
        <v>174</v>
      </c>
      <c r="E158" s="53">
        <v>77</v>
      </c>
      <c r="F158" s="53">
        <v>57</v>
      </c>
      <c r="G158" s="53">
        <v>40</v>
      </c>
      <c r="H158" s="53">
        <v>32</v>
      </c>
    </row>
    <row r="159" spans="2:8" x14ac:dyDescent="0.35">
      <c r="B159" s="51">
        <v>157</v>
      </c>
      <c r="C159" s="53" t="s">
        <v>355</v>
      </c>
      <c r="D159" s="53" t="s">
        <v>174</v>
      </c>
      <c r="E159" s="53">
        <v>77</v>
      </c>
      <c r="F159" s="53">
        <v>57</v>
      </c>
      <c r="G159" s="53">
        <v>40</v>
      </c>
      <c r="H159" s="53">
        <v>32</v>
      </c>
    </row>
    <row r="160" spans="2:8" x14ac:dyDescent="0.35">
      <c r="B160" s="54">
        <v>158</v>
      </c>
      <c r="C160" s="55" t="s">
        <v>97</v>
      </c>
      <c r="D160" s="55" t="s">
        <v>174</v>
      </c>
      <c r="E160" s="56">
        <v>47</v>
      </c>
      <c r="F160" s="56">
        <v>33</v>
      </c>
      <c r="G160" s="56">
        <v>22</v>
      </c>
      <c r="H160" s="56">
        <v>17</v>
      </c>
    </row>
    <row r="161" spans="2:8" x14ac:dyDescent="0.35">
      <c r="B161" s="54">
        <v>159</v>
      </c>
      <c r="C161" s="55" t="s">
        <v>98</v>
      </c>
      <c r="D161" s="55" t="s">
        <v>174</v>
      </c>
      <c r="E161" s="56">
        <v>47</v>
      </c>
      <c r="F161" s="56">
        <v>33</v>
      </c>
      <c r="G161" s="56">
        <v>22</v>
      </c>
      <c r="H161" s="56">
        <v>17</v>
      </c>
    </row>
    <row r="162" spans="2:8" x14ac:dyDescent="0.35">
      <c r="B162" s="54">
        <v>160</v>
      </c>
      <c r="C162" s="56" t="s">
        <v>356</v>
      </c>
      <c r="D162" s="56" t="s">
        <v>174</v>
      </c>
      <c r="E162" s="56">
        <v>47</v>
      </c>
      <c r="F162" s="56">
        <v>33</v>
      </c>
      <c r="G162" s="56">
        <v>22</v>
      </c>
      <c r="H162" s="56">
        <v>17</v>
      </c>
    </row>
    <row r="163" spans="2:8" x14ac:dyDescent="0.35">
      <c r="B163" s="48">
        <v>161</v>
      </c>
      <c r="C163" s="49" t="s">
        <v>99</v>
      </c>
      <c r="D163" s="49" t="s">
        <v>174</v>
      </c>
      <c r="E163" s="50">
        <v>108</v>
      </c>
      <c r="F163" s="50">
        <v>80</v>
      </c>
      <c r="G163" s="50">
        <v>57</v>
      </c>
      <c r="H163" s="50">
        <v>45</v>
      </c>
    </row>
    <row r="164" spans="2:8" x14ac:dyDescent="0.35">
      <c r="B164" s="54">
        <v>162</v>
      </c>
      <c r="C164" s="56" t="s">
        <v>357</v>
      </c>
      <c r="D164" s="56" t="s">
        <v>174</v>
      </c>
      <c r="E164" s="56">
        <v>47</v>
      </c>
      <c r="F164" s="56">
        <v>33</v>
      </c>
      <c r="G164" s="56">
        <v>22</v>
      </c>
      <c r="H164" s="56">
        <v>17</v>
      </c>
    </row>
    <row r="165" spans="2:8" x14ac:dyDescent="0.35">
      <c r="B165" s="54">
        <v>163</v>
      </c>
      <c r="C165" s="56" t="s">
        <v>358</v>
      </c>
      <c r="D165" s="56" t="s">
        <v>174</v>
      </c>
      <c r="E165" s="56">
        <v>47</v>
      </c>
      <c r="F165" s="56">
        <v>33</v>
      </c>
      <c r="G165" s="56">
        <v>22</v>
      </c>
      <c r="H165" s="56">
        <v>17</v>
      </c>
    </row>
    <row r="166" spans="2:8" x14ac:dyDescent="0.35">
      <c r="B166" s="54">
        <v>164</v>
      </c>
      <c r="C166" s="56" t="s">
        <v>359</v>
      </c>
      <c r="D166" s="56" t="s">
        <v>174</v>
      </c>
      <c r="E166" s="56">
        <v>47</v>
      </c>
      <c r="F166" s="56">
        <v>33</v>
      </c>
      <c r="G166" s="56">
        <v>22</v>
      </c>
      <c r="H166" s="56">
        <v>17</v>
      </c>
    </row>
    <row r="167" spans="2:8" x14ac:dyDescent="0.35">
      <c r="B167" s="51">
        <v>165</v>
      </c>
      <c r="C167" s="53" t="s">
        <v>360</v>
      </c>
      <c r="D167" s="53" t="s">
        <v>174</v>
      </c>
      <c r="E167" s="53">
        <v>77</v>
      </c>
      <c r="F167" s="53">
        <v>57</v>
      </c>
      <c r="G167" s="53">
        <v>40</v>
      </c>
      <c r="H167" s="53">
        <v>32</v>
      </c>
    </row>
    <row r="168" spans="2:8" x14ac:dyDescent="0.35">
      <c r="B168" s="54">
        <v>166</v>
      </c>
      <c r="C168" s="55" t="s">
        <v>100</v>
      </c>
      <c r="D168" s="55" t="s">
        <v>174</v>
      </c>
      <c r="E168" s="56">
        <v>47</v>
      </c>
      <c r="F168" s="56">
        <v>33</v>
      </c>
      <c r="G168" s="56">
        <v>22</v>
      </c>
      <c r="H168" s="56">
        <v>17</v>
      </c>
    </row>
    <row r="169" spans="2:8" x14ac:dyDescent="0.35">
      <c r="B169" s="54">
        <v>167</v>
      </c>
      <c r="C169" s="55" t="s">
        <v>101</v>
      </c>
      <c r="D169" s="55" t="s">
        <v>174</v>
      </c>
      <c r="E169" s="56">
        <v>47</v>
      </c>
      <c r="F169" s="56">
        <v>33</v>
      </c>
      <c r="G169" s="56">
        <v>22</v>
      </c>
      <c r="H169" s="56">
        <v>17</v>
      </c>
    </row>
    <row r="170" spans="2:8" x14ac:dyDescent="0.35">
      <c r="B170" s="54">
        <v>168</v>
      </c>
      <c r="C170" s="56" t="s">
        <v>361</v>
      </c>
      <c r="D170" s="56" t="s">
        <v>174</v>
      </c>
      <c r="E170" s="56">
        <v>47</v>
      </c>
      <c r="F170" s="56">
        <v>33</v>
      </c>
      <c r="G170" s="56">
        <v>22</v>
      </c>
      <c r="H170" s="56">
        <v>17</v>
      </c>
    </row>
    <row r="171" spans="2:8" x14ac:dyDescent="0.35">
      <c r="B171" s="54">
        <v>169</v>
      </c>
      <c r="C171" s="56" t="s">
        <v>362</v>
      </c>
      <c r="D171" s="56" t="s">
        <v>174</v>
      </c>
      <c r="E171" s="56">
        <v>47</v>
      </c>
      <c r="F171" s="56">
        <v>33</v>
      </c>
      <c r="G171" s="56">
        <v>22</v>
      </c>
      <c r="H171" s="56">
        <v>17</v>
      </c>
    </row>
    <row r="172" spans="2:8" x14ac:dyDescent="0.35">
      <c r="B172" s="48">
        <v>170</v>
      </c>
      <c r="C172" s="49" t="s">
        <v>161</v>
      </c>
      <c r="D172" s="49" t="s">
        <v>174</v>
      </c>
      <c r="E172" s="50">
        <v>108</v>
      </c>
      <c r="F172" s="50">
        <v>80</v>
      </c>
      <c r="G172" s="50">
        <v>57</v>
      </c>
      <c r="H172" s="50">
        <v>45</v>
      </c>
    </row>
    <row r="173" spans="2:8" x14ac:dyDescent="0.35">
      <c r="B173" s="54">
        <v>171</v>
      </c>
      <c r="C173" s="55" t="s">
        <v>102</v>
      </c>
      <c r="D173" s="55" t="s">
        <v>174</v>
      </c>
      <c r="E173" s="56">
        <v>47</v>
      </c>
      <c r="F173" s="56">
        <v>33</v>
      </c>
      <c r="G173" s="56">
        <v>22</v>
      </c>
      <c r="H173" s="56">
        <v>17</v>
      </c>
    </row>
    <row r="174" spans="2:8" x14ac:dyDescent="0.35">
      <c r="B174" s="51">
        <v>172</v>
      </c>
      <c r="C174" s="53" t="s">
        <v>363</v>
      </c>
      <c r="D174" s="53" t="s">
        <v>174</v>
      </c>
      <c r="E174" s="53">
        <v>77</v>
      </c>
      <c r="F174" s="53">
        <v>57</v>
      </c>
      <c r="G174" s="53">
        <v>40</v>
      </c>
      <c r="H174" s="53">
        <v>32</v>
      </c>
    </row>
    <row r="175" spans="2:8" x14ac:dyDescent="0.35">
      <c r="B175" s="48">
        <v>173</v>
      </c>
      <c r="C175" s="49" t="s">
        <v>103</v>
      </c>
      <c r="D175" s="49" t="s">
        <v>174</v>
      </c>
      <c r="E175" s="50">
        <v>108</v>
      </c>
      <c r="F175" s="50">
        <v>80</v>
      </c>
      <c r="G175" s="50">
        <v>57</v>
      </c>
      <c r="H175" s="50">
        <v>45</v>
      </c>
    </row>
    <row r="176" spans="2:8" x14ac:dyDescent="0.35">
      <c r="B176" s="54">
        <v>174</v>
      </c>
      <c r="C176" s="55" t="s">
        <v>104</v>
      </c>
      <c r="D176" s="55" t="s">
        <v>174</v>
      </c>
      <c r="E176" s="56">
        <v>47</v>
      </c>
      <c r="F176" s="56">
        <v>33</v>
      </c>
      <c r="G176" s="56">
        <v>22</v>
      </c>
      <c r="H176" s="56">
        <v>17</v>
      </c>
    </row>
    <row r="177" spans="2:8" x14ac:dyDescent="0.35">
      <c r="B177" s="54">
        <v>175</v>
      </c>
      <c r="C177" s="55" t="s">
        <v>105</v>
      </c>
      <c r="D177" s="55" t="s">
        <v>174</v>
      </c>
      <c r="E177" s="56">
        <v>47</v>
      </c>
      <c r="F177" s="56">
        <v>33</v>
      </c>
      <c r="G177" s="56">
        <v>22</v>
      </c>
      <c r="H177" s="56">
        <v>17</v>
      </c>
    </row>
    <row r="178" spans="2:8" x14ac:dyDescent="0.35">
      <c r="B178" s="48">
        <v>176</v>
      </c>
      <c r="C178" s="50" t="s">
        <v>364</v>
      </c>
      <c r="D178" s="50" t="s">
        <v>174</v>
      </c>
      <c r="E178" s="50">
        <v>108</v>
      </c>
      <c r="F178" s="50">
        <v>80</v>
      </c>
      <c r="G178" s="50">
        <v>57</v>
      </c>
      <c r="H178" s="50">
        <v>45</v>
      </c>
    </row>
    <row r="179" spans="2:8" x14ac:dyDescent="0.35">
      <c r="B179" s="48">
        <v>177</v>
      </c>
      <c r="C179" s="50" t="s">
        <v>365</v>
      </c>
      <c r="D179" s="50" t="s">
        <v>174</v>
      </c>
      <c r="E179" s="50">
        <v>108</v>
      </c>
      <c r="F179" s="50">
        <v>80</v>
      </c>
      <c r="G179" s="50">
        <v>57</v>
      </c>
      <c r="H179" s="50">
        <v>45</v>
      </c>
    </row>
  </sheetData>
  <sheetProtection algorithmName="SHA-512" hashValue="xv4c4kpRxddXN6e7NtNWGsnw5fuH4dIz6iE7TOR6XK5UNq3fCD66Tpx/bKytIlECA/87/bqY+WaNkaHgH617Hw==" saltValue="yYuskwbfn2W9UkPyEZaFjg==" spinCount="100000" sheet="1" objects="1" scenarios="1" selectLockedCells="1" selectUnlockedCells="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5FB2861-ECA0-4B0A-9CC6-B62988A7DC03}">
  <ds:schemaRefs>
    <ds:schemaRef ds:uri="http://www.w3.org/XML/1998/namespace"/>
    <ds:schemaRef ds:uri="http://schemas.microsoft.com/office/2006/documentManagement/types"/>
    <ds:schemaRef ds:uri="http://schemas.openxmlformats.org/package/2006/metadata/core-properties"/>
    <ds:schemaRef ds:uri="http://purl.org/dc/dcmitype/"/>
    <ds:schemaRef ds:uri="http://purl.org/dc/elements/1.1/"/>
    <ds:schemaRef ds:uri="http://schemas.microsoft.com/office/infopath/2007/PartnerControl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36</vt:i4>
      </vt:variant>
    </vt:vector>
  </HeadingPairs>
  <TitlesOfParts>
    <vt:vector size="48" baseType="lpstr">
      <vt:lpstr>Instructions</vt:lpstr>
      <vt:lpstr>Final financial statement</vt:lpstr>
      <vt:lpstr>Use of 1st Prefin &amp; 2nd Prefin</vt:lpstr>
      <vt:lpstr>Exchange Rates</vt:lpstr>
      <vt:lpstr>1. Staff Costs</vt:lpstr>
      <vt:lpstr>2-3-6. Travel Costs&amp;CoS&amp;EC</vt:lpstr>
      <vt:lpstr>4. Equipment Costs</vt:lpstr>
      <vt:lpstr>5. Subcontracting Costs</vt:lpstr>
      <vt:lpstr>Co-financing</vt:lpstr>
      <vt:lpstr>Breakdown &amp; Project Funding</vt:lpstr>
      <vt:lpstr>Breakdown Staff &amp; Travel Costs</vt:lpstr>
      <vt:lpstr>Rates</vt:lpstr>
      <vt:lpstr>BudgetHeadings</vt:lpstr>
      <vt:lpstr>Category</vt:lpstr>
      <vt:lpstr>Category2</vt:lpstr>
      <vt:lpstr>CountryALL</vt:lpstr>
      <vt:lpstr>CountryEligEquip</vt:lpstr>
      <vt:lpstr>CountryType</vt:lpstr>
      <vt:lpstr>Currencies</vt:lpstr>
      <vt:lpstr>EUCountry</vt:lpstr>
      <vt:lpstr>Exchange_Rates</vt:lpstr>
      <vt:lpstr>'2-3-6. Travel Costs&amp;CoS&amp;EC'!Impression_des_titres</vt:lpstr>
      <vt:lpstr>'4. Equipment Costs'!Impression_des_titres</vt:lpstr>
      <vt:lpstr>'5. Subcontracting Costs'!Impression_des_titres</vt:lpstr>
      <vt:lpstr>'Breakdown &amp; Project Funding'!Impression_des_titres</vt:lpstr>
      <vt:lpstr>'Co-financing'!Impression_des_titres</vt:lpstr>
      <vt:lpstr>Option</vt:lpstr>
      <vt:lpstr>'Use of 1st Prefin &amp; 2nd Prefin'!PartnerN°</vt:lpstr>
      <vt:lpstr>PartnerN°</vt:lpstr>
      <vt:lpstr>'Use of 1st Prefin &amp; 2nd Prefin'!PartnerN°Ref</vt:lpstr>
      <vt:lpstr>PartnerN°Ref</vt:lpstr>
      <vt:lpstr>Rates</vt:lpstr>
      <vt:lpstr>Role_Code</vt:lpstr>
      <vt:lpstr>Staff</vt:lpstr>
      <vt:lpstr>StaffCat</vt:lpstr>
      <vt:lpstr>Student</vt:lpstr>
      <vt:lpstr>WorkPackage</vt:lpstr>
      <vt:lpstr>'1. Staff Costs'!Zone_d_impression</vt:lpstr>
      <vt:lpstr>'2-3-6. Travel Costs&amp;CoS&amp;EC'!Zone_d_impression</vt:lpstr>
      <vt:lpstr>'4. Equipment Costs'!Zone_d_impression</vt:lpstr>
      <vt:lpstr>'5. Subcontracting Costs'!Zone_d_impression</vt:lpstr>
      <vt:lpstr>'Breakdown &amp; Project Funding'!Zone_d_impression</vt:lpstr>
      <vt:lpstr>'Breakdown Staff &amp; Travel Costs'!Zone_d_impression</vt:lpstr>
      <vt:lpstr>'Co-financing'!Zone_d_impression</vt:lpstr>
      <vt:lpstr>'Exchange Rates'!Zone_d_impression</vt:lpstr>
      <vt:lpstr>'Final financial statement'!Zone_d_impression</vt:lpstr>
      <vt:lpstr>Instructions!Zone_d_impression</vt:lpstr>
      <vt:lpstr>'Use of 1st Prefin &amp; 2nd Prefin'!Zone_d_impression</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Monica Grijalva Merizalde</cp:lastModifiedBy>
  <cp:lastPrinted>2021-09-24T08:52:37Z</cp:lastPrinted>
  <dcterms:created xsi:type="dcterms:W3CDTF">2013-09-27T15:40:24Z</dcterms:created>
  <dcterms:modified xsi:type="dcterms:W3CDTF">2021-10-05T14:31:55Z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